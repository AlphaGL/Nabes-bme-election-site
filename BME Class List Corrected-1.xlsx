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FUTO-OGR MTH 1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<sst xmlns="http://schemas.openxmlformats.org/spreadsheetml/2006/main" count="503" uniqueCount="195">
  <si>
    <t>FEDERAL UNIVERSITY OF TECHNOLOGY, OWERRI</t>
  </si>
  <si>
    <t>OFFICIAL GRADE REPORT</t>
  </si>
  <si>
    <t>School of Student: SEET</t>
  </si>
  <si>
    <t>Department: BIOMEDICAL ENGINEERING</t>
  </si>
  <si>
    <t>Session: ---------------------------------</t>
  </si>
  <si>
    <t>Title of Course: ------------------------</t>
  </si>
  <si>
    <t>Course Code: -------------------------</t>
  </si>
  <si>
    <t>School Offering Course: ----------------------------</t>
  </si>
  <si>
    <t>Date: -----------------------------</t>
  </si>
  <si>
    <t>SN</t>
  </si>
  <si>
    <t>NAMES</t>
  </si>
  <si>
    <t>REG. NO.</t>
  </si>
  <si>
    <t>PROGRAM</t>
  </si>
  <si>
    <t>TEST</t>
  </si>
  <si>
    <t>LAB</t>
  </si>
  <si>
    <t>EXAM</t>
  </si>
  <si>
    <t>TOTAL</t>
  </si>
  <si>
    <t>GRADE</t>
  </si>
  <si>
    <t>REMARK</t>
  </si>
  <si>
    <t>ABIKA JOY .C.</t>
  </si>
  <si>
    <t>ACHIGA PASCHAL CHIKAMSO</t>
  </si>
  <si>
    <t>AGBAWO DESTINY CHIEMERIE</t>
  </si>
  <si>
    <t>AGBO EMMANUEL ONUOHA</t>
  </si>
  <si>
    <t>AJAERO RAYMOND .A.</t>
  </si>
  <si>
    <t>ALLEN EMMANUEL</t>
  </si>
  <si>
    <t>AMADI JUBILEE NYENMERI</t>
  </si>
  <si>
    <t>AMAECHI MIRACLE CHUKWUEMEKA</t>
  </si>
  <si>
    <t>AMAEFULE AMARACHI CHISOM</t>
  </si>
  <si>
    <t>ANOPUEME EKENE JOHNKENNEDY</t>
  </si>
  <si>
    <t>ANUGWOM REAGAN CHIDERA</t>
  </si>
  <si>
    <t>ANUSIONWU GERALD CHIDUBEM</t>
  </si>
  <si>
    <t>ANYANWU JOHNBOSCO CHIBUIKE</t>
  </si>
  <si>
    <t>ANYAOHA CHIADIKAOBI BLESSING</t>
  </si>
  <si>
    <t>ANYASO MORISPHILIP .U.</t>
  </si>
  <si>
    <t>ASSA EZINNE BLESSING</t>
  </si>
  <si>
    <t>AYODELE LAWAL SUNDAY</t>
  </si>
  <si>
    <t>AZUATALAM ELVIS IKENNA</t>
  </si>
  <si>
    <t>20241446323</t>
  </si>
  <si>
    <t>AZUBUIKE ROOSEVELI OZIOMA</t>
  </si>
  <si>
    <t xml:space="preserve">BASSEY GOODNESS ANIEKAN </t>
  </si>
  <si>
    <t>BENEDICT EMMANUEL MICHAEL</t>
  </si>
  <si>
    <t>CHIGERE CHINONSO DIVINE</t>
  </si>
  <si>
    <t xml:space="preserve">CHIME MICHAEL CHUKWUEMEKA </t>
  </si>
  <si>
    <t>CHRIS-EJIOGU STEPHANIE UZOAMAKA</t>
  </si>
  <si>
    <t>CHUKWU CHIDALU EMMANUEL</t>
  </si>
  <si>
    <t>CHUKWUEMEKA ANTHONY CHIBUEZE</t>
  </si>
  <si>
    <t>CHUKWUNENYE EMMANUEL JACHIMMA</t>
  </si>
  <si>
    <t>DIKE VIOLA CHISOM</t>
  </si>
  <si>
    <t>DUROHA CHUKWUEMEKA OBIORA</t>
  </si>
  <si>
    <t xml:space="preserve">EBENEZER CHIJIOKE SHEDRACK </t>
  </si>
  <si>
    <t>EBERE FAVOUR CHINYERE</t>
  </si>
  <si>
    <t>EBERE SOLOMON ONYEBUCHI</t>
  </si>
  <si>
    <t>EGBUJOR ALBERT UKWENGA</t>
  </si>
  <si>
    <t xml:space="preserve">EGESI KAMSIYOCHUKWU THANKGOD </t>
  </si>
  <si>
    <t>EGWIM CHIDIEBERE PROMISE</t>
  </si>
  <si>
    <t>EJIMOFOR EMMANUEL CHIBUIHEM</t>
  </si>
  <si>
    <t>EJIOFOR CHINENYE CHIOMA</t>
  </si>
  <si>
    <t>EKONG MACAULAY GODWIN</t>
  </si>
  <si>
    <t>EMEH DIVINE NNEOMA</t>
  </si>
  <si>
    <t>EPHRAIM TRUSTGOD TOCHUKWU</t>
  </si>
  <si>
    <t>Head of Department</t>
  </si>
  <si>
    <t>Examiner (s)</t>
  </si>
  <si>
    <t>Dean of School</t>
  </si>
  <si>
    <t>Grading System:</t>
  </si>
  <si>
    <t>70% and Above:   A</t>
  </si>
  <si>
    <t>45%  -  49%:  D</t>
  </si>
  <si>
    <t>60%  -  69%:  B</t>
  </si>
  <si>
    <t>40%  -  44%:  E</t>
  </si>
  <si>
    <t>50%  -  59%:  C</t>
  </si>
  <si>
    <t>Below 40%:  F</t>
  </si>
  <si>
    <t>Page 1</t>
  </si>
  <si>
    <t xml:space="preserve">EZEH CHIMDINDU DELIGHT </t>
  </si>
  <si>
    <t>EZEIHUAKU CHRISTOPHER EBUKA</t>
  </si>
  <si>
    <t>EZIAHAKAEGO MICHAEL .C.</t>
  </si>
  <si>
    <t>FIDELIS GRACIOUS G.</t>
  </si>
  <si>
    <t>FRANCIS GODBLESS U.</t>
  </si>
  <si>
    <t xml:space="preserve">GIVESON VICTORY OSOROCHI. </t>
  </si>
  <si>
    <t>HERBERT DIVINE CHIMAOBI</t>
  </si>
  <si>
    <t>HILARY PROMISE OLUEBUBE</t>
  </si>
  <si>
    <t xml:space="preserve">IBEAZOR IFUNANYA LOVE </t>
  </si>
  <si>
    <t xml:space="preserve">IDIKA DAVID HENRY </t>
  </si>
  <si>
    <t xml:space="preserve">IGIDI JOY TOBECHI </t>
  </si>
  <si>
    <t>IGNATIUS GODISMARVELLOUS</t>
  </si>
  <si>
    <t>20241430803</t>
  </si>
  <si>
    <t>IGWE LUCY JACOB</t>
  </si>
  <si>
    <t xml:space="preserve">IGWE SUNDAY CHARLES </t>
  </si>
  <si>
    <t xml:space="preserve">IHENACHO CHUKWUBUIKEM REX </t>
  </si>
  <si>
    <t xml:space="preserve">IKECHUKWU DANIEL CHINONSO </t>
  </si>
  <si>
    <t>IKPO UCHENDU MICHAEL</t>
  </si>
  <si>
    <t xml:space="preserve">IROEGBU CAJETAN  CHIDUBEM </t>
  </si>
  <si>
    <t>ISAAC-BINI GREAT OGHENEKOBIROU</t>
  </si>
  <si>
    <t>ISRAEL PRAISE CHIMUANYA</t>
  </si>
  <si>
    <t>202590046544CA</t>
  </si>
  <si>
    <t xml:space="preserve">JOEL CHINAECHEREM FAVOUR </t>
  </si>
  <si>
    <t>JOHNSON CHINWEOTITO MICHAEL</t>
  </si>
  <si>
    <t>JULIUS OMOLARA DORCAS</t>
  </si>
  <si>
    <t>KENECHUKWU FAVOUR IRUOMA</t>
  </si>
  <si>
    <t xml:space="preserve">LAZARUS FAVOUR CHINEMEREM </t>
  </si>
  <si>
    <t>LEWIS FORTUNE CHIDERA</t>
  </si>
  <si>
    <t>LILY REJOICE CHIAMAKA</t>
  </si>
  <si>
    <t xml:space="preserve">MBAJIOGU NNABUIKE BONAVENTURE </t>
  </si>
  <si>
    <t>MBANEFO FRANKLIN CHIEMERIE</t>
  </si>
  <si>
    <t>MGBECHETA DEREK CHIDOZIE</t>
  </si>
  <si>
    <t>MORGAN KEZIAH NKPASOSO</t>
  </si>
  <si>
    <t xml:space="preserve">MOUKA KENNETH IFECHUKWU </t>
  </si>
  <si>
    <t>MUNONYE REAGAN NACHEBE</t>
  </si>
  <si>
    <t>MURRAY CHINEDUM MARVELLOUS .I.</t>
  </si>
  <si>
    <t>NDUCHEKWE MICHAEL O</t>
  </si>
  <si>
    <t>NNEJIAMADI EMMANUEL</t>
  </si>
  <si>
    <t>NORBERT DIVINE CHIZETEREM</t>
  </si>
  <si>
    <t xml:space="preserve">NWABUDOEZI FAVOUR C. </t>
  </si>
  <si>
    <t>__________________________________</t>
  </si>
  <si>
    <t>Page 2</t>
  </si>
  <si>
    <t>NWACHINEMERE IFEANYI STEPHEN</t>
  </si>
  <si>
    <t>NWACHUKWU PROGRESS OBIOMA</t>
  </si>
  <si>
    <t xml:space="preserve">NWANEDO GEORGE U. </t>
  </si>
  <si>
    <t xml:space="preserve">NWAOHA CHIMGUNYEREM MICHAEL. </t>
  </si>
  <si>
    <t xml:space="preserve">NWAOYEKA MUNACHI  J. </t>
  </si>
  <si>
    <t xml:space="preserve">NWODO CHIBUIKE JEREMIAH </t>
  </si>
  <si>
    <t>NWULU JEREMIAH WALKER</t>
  </si>
  <si>
    <t xml:space="preserve">OBI  OBINNA GOLDEN </t>
  </si>
  <si>
    <t xml:space="preserve">OBIAGWU CHINEDU FAVOR  </t>
  </si>
  <si>
    <t xml:space="preserve">OBIBI CHIJIIKEM CHINEDUM </t>
  </si>
  <si>
    <t>OBII MICHEAL UGOCHUKWU</t>
  </si>
  <si>
    <t xml:space="preserve">OBILOR KINGSLEY ONYINYECHI </t>
  </si>
  <si>
    <t xml:space="preserve">OBIOHA  DIVINE CHIEMERIA . </t>
  </si>
  <si>
    <t>OGBONNA SIMEON KELECHUKWU</t>
  </si>
  <si>
    <t xml:space="preserve">OGUZIE AUGUSTINE TOOCHUKWU </t>
  </si>
  <si>
    <t>OGUZIE VICTOR CHIZURUOKE</t>
  </si>
  <si>
    <t>OHAEGBULAM KELECHI DANIEL</t>
  </si>
  <si>
    <t xml:space="preserve">OHAMAZUO CHIMEMAZUO  P. </t>
  </si>
  <si>
    <t xml:space="preserve">OHIA MMESOMA RUTH </t>
  </si>
  <si>
    <t>OJINKEYA NANCY CHIZITEREM</t>
  </si>
  <si>
    <t xml:space="preserve">OKAFOR CHISOM DELIGHT </t>
  </si>
  <si>
    <t xml:space="preserve">OKAHIA CHISOM ALLWELL. </t>
  </si>
  <si>
    <t>OKECHUKWU MARYDIANA OSINACHI</t>
  </si>
  <si>
    <t>OKECHUWU DURU DANIEL UGOCHUKWU</t>
  </si>
  <si>
    <t xml:space="preserve">OKEKE EMMANUEL CHIDERA   </t>
  </si>
  <si>
    <t>OKEKE NZUBECHI FRANKLIN</t>
  </si>
  <si>
    <t xml:space="preserve">OKEKE WISDOM .U. </t>
  </si>
  <si>
    <t xml:space="preserve">OKONKWO KPOKUOCHUKWU M </t>
  </si>
  <si>
    <t xml:space="preserve">OKORO NZUBECHI STANLEY </t>
  </si>
  <si>
    <t xml:space="preserve">ONU PATRICK CHIWEOTITO </t>
  </si>
  <si>
    <t xml:space="preserve">ONUKWUGHA QUEENETH .C. </t>
  </si>
  <si>
    <t>ONUMONU MMADUABUCHI JOSEPHAT</t>
  </si>
  <si>
    <t>ONUOHA  STANLEY CHIDIADI</t>
  </si>
  <si>
    <t xml:space="preserve">ONUOHA LEONARD NNAMDI </t>
  </si>
  <si>
    <t xml:space="preserve">ONYENAGBAGHA COMFORT O. </t>
  </si>
  <si>
    <t>OPARA DIVINE OZIOMA</t>
  </si>
  <si>
    <t xml:space="preserve">PATRICK NZUBECHI GOSPEL </t>
  </si>
  <si>
    <t>PETER JOSEPH IME</t>
  </si>
  <si>
    <t xml:space="preserve">SABASTINE BENNETH CHIMEZIE </t>
  </si>
  <si>
    <t xml:space="preserve">SIBIE VICTORY MMERY </t>
  </si>
  <si>
    <t>Page 3</t>
  </si>
  <si>
    <t xml:space="preserve">TAIWO EMMANUEL TOLUWANI </t>
  </si>
  <si>
    <t>TIMOTHY MICAH ONYINYECHI</t>
  </si>
  <si>
    <t xml:space="preserve">TONY JONATHAN C </t>
  </si>
  <si>
    <t>UCHE ANTHONY CHIKAMDABERE</t>
  </si>
  <si>
    <t xml:space="preserve">UCHEGBULAM CHUKWUEMEKA </t>
  </si>
  <si>
    <t>UDEH JUDITH CHIAMAKA</t>
  </si>
  <si>
    <t xml:space="preserve">UDEMMADU PRECIOUS NMESOMA </t>
  </si>
  <si>
    <t xml:space="preserve">UDOHA MIRACLE OLUCHUKWU </t>
  </si>
  <si>
    <t>UDUMA JOY OBASI</t>
  </si>
  <si>
    <t xml:space="preserve">UGIRI EKELEMCHI ENYINNAYA </t>
  </si>
  <si>
    <t>UGWOEGBU BENEDICTA .A.</t>
  </si>
  <si>
    <t xml:space="preserve">UGWU EMMANUEL CHIJINDU </t>
  </si>
  <si>
    <t xml:space="preserve">UKWUOMA ISIDORE CHIZITERE </t>
  </si>
  <si>
    <t xml:space="preserve">UMUNNA MIRACLE NGOZI </t>
  </si>
  <si>
    <t>UMUNNAKWE DIVINE CHIMDIEBERE</t>
  </si>
  <si>
    <t>UNICHI  VICTORIA UGONNA</t>
  </si>
  <si>
    <t>UNICHI FAITHFUL NZOPUTACHI</t>
  </si>
  <si>
    <t xml:space="preserve">UWALAKA KOSI KENNETH </t>
  </si>
  <si>
    <t xml:space="preserve">UZOMA WILLIAMS ONYEDIKACHI </t>
  </si>
  <si>
    <t>VICTOR DARLINGTON TOCHUWKWU</t>
  </si>
  <si>
    <t xml:space="preserve">VITAS DIVINE CHIMDIEBUBE </t>
  </si>
  <si>
    <t xml:space="preserve">WEKE DIVINE OLUEBUBE </t>
  </si>
  <si>
    <t>Page 4</t>
  </si>
  <si>
    <t>Page 5</t>
  </si>
  <si>
    <t>Page 6</t>
  </si>
  <si>
    <t>Page 7</t>
  </si>
  <si>
    <t>Page 8</t>
  </si>
  <si>
    <t>Page 9</t>
  </si>
  <si>
    <t>Page 10</t>
  </si>
  <si>
    <t>Page 11</t>
  </si>
  <si>
    <t>Page 12</t>
  </si>
  <si>
    <t>Page 13</t>
  </si>
  <si>
    <t>Page 14</t>
  </si>
  <si>
    <t>Page 15</t>
  </si>
  <si>
    <t>A =</t>
  </si>
  <si>
    <t>B =</t>
  </si>
  <si>
    <t>C =</t>
  </si>
  <si>
    <t>D =</t>
  </si>
  <si>
    <t>E =</t>
  </si>
  <si>
    <t>F =</t>
  </si>
  <si>
    <t>% F: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</si>
</sst>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0"/>
      <color rgb="FF000000"/>
      <name val="Calibri"/>
      <charset val="134"/>
      <scheme val="minor"/>
    </font>
    <font>
      <sz val="12"/>
      <name val="Calibri"/>
      <charset val="134"/>
    </font>
    <font>
      <b/>
      <sz val="20"/>
      <name val="Calibri"/>
      <charset val="134"/>
    </font>
    <font>
      <b/>
      <sz val="18"/>
      <name val="Calibri"/>
      <charset val="134"/>
    </font>
    <font>
      <b/>
      <sz val="12"/>
      <name val="Calibri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"/>
      <name val="Calibri"/>
      <charset val="134"/>
      <scheme val="minor"/>
    </font>
    <font>
      <i/>
      <sz val="12"/>
      <name val="Calibri"/>
      <charset val="134"/>
    </font>
    <font>
      <b/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2" applyNumberFormat="0" applyAlignment="0" applyProtection="0">
      <alignment vertical="center"/>
    </xf>
    <xf numFmtId="0" fontId="22" fillId="4" borderId="23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5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6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11" fillId="0" borderId="16" xfId="0" applyFont="1" applyBorder="1" applyAlignment="1">
      <alignment vertical="top" wrapText="1"/>
    </xf>
    <xf numFmtId="0" fontId="11" fillId="0" borderId="17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17" xfId="0" applyFont="1" applyBorder="1" applyAlignment="1">
      <alignment vertical="top" wrapText="1"/>
    </xf>
    <xf numFmtId="0" fontId="10" fillId="0" borderId="18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5" fillId="0" borderId="2" xfId="0" applyFont="1" applyFill="1" applyBorder="1" applyAlignment="1" quotePrefix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5"/>
  <sheetViews>
    <sheetView tabSelected="1" topLeftCell="B1" workbookViewId="0">
      <selection activeCell="K7" sqref="K7"/>
    </sheetView>
  </sheetViews>
  <sheetFormatPr defaultColWidth="14.4285714285714" defaultRowHeight="15" customHeight="1"/>
  <cols>
    <col min="1" max="1" width="4.42857142857143" customWidth="1"/>
    <col min="2" max="2" width="39.5714285714286" customWidth="1"/>
    <col min="3" max="3" width="13.7142857142857" customWidth="1"/>
    <col min="4" max="4" width="12.4285714285714" customWidth="1"/>
    <col min="5" max="5" width="6.71428571428571" customWidth="1"/>
    <col min="6" max="6" width="5.85714285714286" customWidth="1"/>
    <col min="7" max="7" width="6.85714285714286" customWidth="1"/>
    <col min="8" max="8" width="8.85714285714286" customWidth="1"/>
    <col min="9" max="10" width="9.42857142857143" customWidth="1"/>
    <col min="11" max="11" width="9" customWidth="1"/>
  </cols>
  <sheetData>
    <row r="1" ht="15.75" customHeight="1" spans="1:11">
      <c r="A1" s="1"/>
      <c r="B1" s="2"/>
      <c r="C1" s="1"/>
      <c r="D1" s="1"/>
      <c r="E1" s="1"/>
      <c r="F1" s="1"/>
      <c r="G1" s="1"/>
      <c r="H1" s="1"/>
      <c r="I1" s="1"/>
      <c r="J1" s="1"/>
      <c r="K1" s="1"/>
    </row>
    <row r="2" ht="15.75" customHeight="1" spans="1:11">
      <c r="A2" s="1"/>
      <c r="B2" s="3" t="s">
        <v>0</v>
      </c>
      <c r="K2" s="1"/>
    </row>
    <row r="3" ht="15.75" customHeight="1" spans="1:11">
      <c r="A3" s="1"/>
      <c r="B3" s="4" t="s">
        <v>1</v>
      </c>
      <c r="K3" s="1"/>
    </row>
    <row r="4" ht="15.75" customHeight="1" spans="1:11">
      <c r="A4" s="1"/>
      <c r="B4" s="2"/>
      <c r="C4" s="1"/>
      <c r="D4" s="1"/>
      <c r="E4" s="1"/>
      <c r="F4" s="1"/>
      <c r="G4" s="1"/>
      <c r="H4" s="1"/>
      <c r="I4" s="1"/>
      <c r="J4" s="1"/>
      <c r="K4" s="1"/>
    </row>
    <row r="5" ht="15.75" customHeight="1" spans="1:11">
      <c r="A5" s="2" t="s">
        <v>2</v>
      </c>
      <c r="D5" s="1"/>
      <c r="E5" s="5"/>
      <c r="K5" s="1"/>
    </row>
    <row r="6" ht="15.75" customHeight="1" spans="1:11">
      <c r="A6" s="2" t="s">
        <v>3</v>
      </c>
      <c r="D6" s="1"/>
      <c r="E6" s="5" t="s">
        <v>4</v>
      </c>
      <c r="K6" s="1"/>
    </row>
    <row r="7" ht="15.75" customHeight="1" spans="1:11">
      <c r="A7" s="2" t="s">
        <v>5</v>
      </c>
      <c r="D7" s="1"/>
      <c r="E7" s="5" t="s">
        <v>6</v>
      </c>
      <c r="K7" s="1"/>
    </row>
    <row r="8" ht="15.75" customHeight="1" spans="1:11">
      <c r="A8" s="2" t="s">
        <v>7</v>
      </c>
      <c r="D8" s="1"/>
      <c r="E8" s="5" t="s">
        <v>8</v>
      </c>
      <c r="K8" s="1"/>
    </row>
    <row r="9" ht="15.75" customHeight="1" spans="1:11">
      <c r="A9" s="1"/>
      <c r="B9" s="2"/>
      <c r="C9" s="1"/>
      <c r="D9" s="5"/>
      <c r="E9" s="5"/>
      <c r="F9" s="5"/>
      <c r="G9" s="5"/>
      <c r="H9" s="5"/>
      <c r="I9" s="5"/>
      <c r="J9" s="5"/>
      <c r="K9" s="1"/>
    </row>
    <row r="10" ht="15.75" customHeight="1" spans="1:11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1"/>
    </row>
    <row r="11" ht="15.75" customHeight="1" spans="1:11">
      <c r="A11" s="7">
        <v>1</v>
      </c>
      <c r="B11" s="8" t="s">
        <v>19</v>
      </c>
      <c r="C11" s="9">
        <v>20241450713</v>
      </c>
      <c r="D11" s="7"/>
      <c r="E11" s="7"/>
      <c r="F11" s="7"/>
      <c r="G11" s="7"/>
      <c r="H11" s="10" t="str">
        <f>IF(AND(E11="",F11="",G11=""),"",IF(SUM(E11:G11)&gt;100,"ERROR",IF(AND(E10="TEST",SUM(E11:G11)&lt;=100),SUM(E11:G11),IF(AND(E10="*TEST",F11="",E11&lt;=30,G11&lt;=70),SUM(E11:G11),IF(AND(E10="*TEST",F11&lt;=20,E11&lt;=20,G11&lt;=60),SUM(E11:G11),IF(AND(E10="*TEST",F11="-",E11&lt;=20,G11&lt;=60),SUM(E11:G11),"ERROR"))))))</f>
        <v/>
      </c>
      <c r="I11" s="7" t="str">
        <f>IF(H11="ERROR","ERROR",IF(H11="","",IF(AND(F10="*LAB",F11="-"),"F",IF(H11&gt;69.5,"A",IF(H11&gt;59.5,"B",IF(H11&gt;49.5,"C",IF(AND(D10="*PROGRAM",H11&lt;49.5),"F",IF(H11&gt;44.5,"D",IF(H11&gt;39.5,"E","F")))))))))</f>
        <v/>
      </c>
      <c r="J11" s="7" t="str">
        <f t="shared" ref="J11:J50" si="0">IF(H11="ERROR","ERROR",IF(I11="","",IF(I11="F","FAIL","PASS")))</f>
        <v/>
      </c>
      <c r="K11" s="1"/>
    </row>
    <row r="12" ht="15.75" customHeight="1" spans="1:11">
      <c r="A12" s="7">
        <v>2</v>
      </c>
      <c r="B12" s="8" t="s">
        <v>20</v>
      </c>
      <c r="C12" s="9">
        <v>20241436303</v>
      </c>
      <c r="D12" s="7" t="str">
        <f>IF(D11="","",IF(H12="","",D11))</f>
        <v/>
      </c>
      <c r="E12" s="7"/>
      <c r="F12" s="7"/>
      <c r="G12" s="7"/>
      <c r="H12" s="10" t="str">
        <f>IF(AND(E12="",F12="",G12=""),"",IF(SUM(E12:G12)&gt;100,"ERROR",IF(AND(E10="TEST",SUM(E12:G12)&lt;=100),SUM(E12:G12),IF(AND(E10="*TEST",F12="",E12&lt;=30,G12&lt;=70),SUM(E12:G12),IF(AND(E10="*TEST",F12&lt;=20,E12&lt;=20,G12&lt;=60),SUM(E12:G12),IF(AND(E10="*TEST",F12="-",E12&lt;=20,G12&lt;=60),SUM(E12:G12),"ERROR"))))))</f>
        <v/>
      </c>
      <c r="I12" s="7" t="str">
        <f>IF(H12="ERROR","ERROR",IF(H12="","",IF(AND(F10="*LAB",F12="-"),"F",IF(H12&gt;69.5,"A",IF(H12&gt;59.5,"B",IF(H12&gt;49.5,"C",IF(AND(D10="*PROGRAM",H12&lt;49.5),"F",IF(H12&gt;44.5,"D",IF(H12&gt;39.5,"E","F")))))))))</f>
        <v/>
      </c>
      <c r="J12" s="7" t="str">
        <f t="shared" si="0"/>
        <v/>
      </c>
      <c r="K12" s="1"/>
    </row>
    <row r="13" ht="15.75" customHeight="1" spans="1:11">
      <c r="A13" s="7">
        <v>3</v>
      </c>
      <c r="B13" s="8" t="s">
        <v>21</v>
      </c>
      <c r="C13" s="9">
        <v>20241427923</v>
      </c>
      <c r="D13" s="7" t="str">
        <f>IF(D11="","",IF(H13="","",D11))</f>
        <v/>
      </c>
      <c r="E13" s="7"/>
      <c r="F13" s="7"/>
      <c r="G13" s="7"/>
      <c r="H13" s="10" t="str">
        <f>IF(AND(E13="",F13="",G13=""),"",IF(SUM(E13:G13)&gt;100,"ERROR",IF(AND(E10="TEST",SUM(E13:G13)&lt;=100),SUM(E13:G13),IF(AND(E10="*TEST",F13="",E13&lt;=30,G13&lt;=70),SUM(E13:G13),IF(AND(E10="*TEST",F13&lt;=20,E13&lt;=20,G13&lt;=60),SUM(E13:G13),IF(AND(E10="*TEST",F13="-",E13&lt;=20,G13&lt;=60),SUM(E13:G13),"ERROR"))))))</f>
        <v/>
      </c>
      <c r="I13" s="7" t="str">
        <f>IF(H13="ERROR","ERROR",IF(H13="","",IF(AND(F10="*LAB",F13="-"),"F",IF(H13&gt;69.5,"A",IF(H13&gt;59.5,"B",IF(H13&gt;49.5,"C",IF(AND(D10="*PROGRAM",H13&lt;49.5),"F",IF(H13&gt;44.5,"D",IF(H13&gt;39.5,"E","F")))))))))</f>
        <v/>
      </c>
      <c r="J13" s="7" t="str">
        <f t="shared" si="0"/>
        <v/>
      </c>
      <c r="K13" s="1"/>
    </row>
    <row r="14" ht="15.75" customHeight="1" spans="1:11">
      <c r="A14" s="7">
        <v>4</v>
      </c>
      <c r="B14" s="8" t="s">
        <v>22</v>
      </c>
      <c r="C14" s="9">
        <v>20241451803</v>
      </c>
      <c r="D14" s="7" t="str">
        <f>IF(D11="","",IF(H14="","",D11))</f>
        <v/>
      </c>
      <c r="E14" s="7"/>
      <c r="F14" s="7"/>
      <c r="G14" s="7"/>
      <c r="H14" s="10" t="str">
        <f>IF(AND(E14="",F14="",G14=""),"",IF(SUM(E14:G14)&gt;100,"ERROR",IF(AND(E10="TEST",SUM(E14:G14)&lt;=100),SUM(E14:G14),IF(AND(E10="*TEST",F14="",E14&lt;=30,G14&lt;=70),SUM(E14:G14),IF(AND(E10="*TEST",F14&lt;=20,E14&lt;=20,G14&lt;=60),SUM(E14:G14),IF(AND(E10="*TEST",F14="-",E14&lt;=20,G14&lt;=60),SUM(E14:G14),"ERROR"))))))</f>
        <v/>
      </c>
      <c r="I14" s="7" t="str">
        <f>IF(H14="ERROR","ERROR",IF(H14="","",IF(AND(F10="*LAB",F14="-"),"F",IF(H14&gt;69.5,"A",IF(H14&gt;59.5,"B",IF(H14&gt;49.5,"C",IF(AND(D10="*PROGRAM",H14&lt;49.5),"F",IF(H14&gt;44.5,"D",IF(H14&gt;39.5,"E","F")))))))))</f>
        <v/>
      </c>
      <c r="J14" s="7" t="str">
        <f t="shared" si="0"/>
        <v/>
      </c>
      <c r="K14" s="1"/>
    </row>
    <row r="15" ht="15.75" customHeight="1" spans="1:11">
      <c r="A15" s="7">
        <v>5</v>
      </c>
      <c r="B15" s="8" t="s">
        <v>23</v>
      </c>
      <c r="C15" s="9">
        <v>20241432423</v>
      </c>
      <c r="D15" s="7" t="str">
        <f>IF(D11="","",IF(H15="","",D11))</f>
        <v/>
      </c>
      <c r="E15" s="7"/>
      <c r="F15" s="7"/>
      <c r="G15" s="7"/>
      <c r="H15" s="10" t="str">
        <f>IF(AND(E15="",F15="",G15=""),"",IF(SUM(E15:G15)&gt;100,"ERROR",IF(AND(E10="TEST",SUM(E15:G15)&lt;=100),SUM(E15:G15),IF(AND(E10="*TEST",F15="",E15&lt;=30,G15&lt;=70),SUM(E15:G15),IF(AND(E10="*TEST",F15&lt;=20,E15&lt;=20,G15&lt;=60),SUM(E15:G15),IF(AND(E10="*TEST",F15="-",E15&lt;=20,G15&lt;=60),SUM(E15:G15),"ERROR"))))))</f>
        <v/>
      </c>
      <c r="I15" s="7" t="str">
        <f>IF(H15="ERROR","ERROR",IF(H15="","",IF(AND(F10="*LAB",F15="-"),"F",IF(H15&gt;69.5,"A",IF(H15&gt;59.5,"B",IF(H15&gt;49.5,"C",IF(AND(D10="*PROGRAM",H15&lt;49.5),"F",IF(H15&gt;44.5,"D",IF(H15&gt;39.5,"E","F")))))))))</f>
        <v/>
      </c>
      <c r="J15" s="7" t="str">
        <f t="shared" si="0"/>
        <v/>
      </c>
      <c r="K15" s="1"/>
    </row>
    <row r="16" ht="15.75" customHeight="1" spans="1:11">
      <c r="A16" s="7">
        <v>6</v>
      </c>
      <c r="B16" s="8" t="s">
        <v>24</v>
      </c>
      <c r="C16" s="9">
        <v>20241473773</v>
      </c>
      <c r="D16" s="7"/>
      <c r="E16" s="7"/>
      <c r="F16" s="7"/>
      <c r="G16" s="7"/>
      <c r="H16" s="10" t="str">
        <f>IF(AND(E16="",F16="",G16=""),"",IF(SUM(E16:G16)&gt;100,"ERROR",IF(AND(#REF!="TEST",SUM(E16:G16)&lt;=100),SUM(E16:G16),IF(AND(#REF!="*TEST",F16="",E16&lt;=30,G16&lt;=70),SUM(E16:G16),IF(AND(#REF!="*TEST",F16&lt;=20,E16&lt;=20,G16&lt;=60),SUM(E16:G16),IF(AND(#REF!="*TEST",F16="-",E16&lt;=20,G16&lt;=60),SUM(E16:G16),"ERROR"))))))</f>
        <v/>
      </c>
      <c r="I16" s="7" t="str">
        <f>IF(H16="ERROR","ERROR",IF(H16="","",IF(AND(#REF!="*LAB",F16="-"),"F",IF(H16&gt;69.5,"A",IF(H16&gt;59.5,"B",IF(H16&gt;49.5,"C",IF(AND(#REF!="*PROGRAM",H16&lt;49.5),"F",IF(H16&gt;44.5,"D",IF(H16&gt;39.5,"E","F")))))))))</f>
        <v/>
      </c>
      <c r="J16" s="7" t="str">
        <f t="shared" si="0"/>
        <v/>
      </c>
      <c r="K16" s="1"/>
    </row>
    <row r="17" ht="15.75" customHeight="1" spans="1:11">
      <c r="A17" s="7">
        <v>7</v>
      </c>
      <c r="B17" s="8" t="s">
        <v>25</v>
      </c>
      <c r="C17" s="9">
        <v>20241446043</v>
      </c>
      <c r="D17" s="7" t="str">
        <f>IF(D11="","",IF(H17="","",D11))</f>
        <v/>
      </c>
      <c r="E17" s="7"/>
      <c r="F17" s="7"/>
      <c r="G17" s="7"/>
      <c r="H17" s="10" t="str">
        <f>IF(AND(E17="",F17="",G17=""),"",IF(SUM(E17:G17)&gt;100,"ERROR",IF(AND(E10="TEST",SUM(E17:G17)&lt;=100),SUM(E17:G17),IF(AND(E10="*TEST",F17="",E17&lt;=30,G17&lt;=70),SUM(E17:G17),IF(AND(E10="*TEST",F17&lt;=20,E17&lt;=20,G17&lt;=60),SUM(E17:G17),IF(AND(E10="*TEST",F17="-",E17&lt;=20,G17&lt;=60),SUM(E17:G17),"ERROR"))))))</f>
        <v/>
      </c>
      <c r="I17" s="7" t="str">
        <f>IF(H17="ERROR","ERROR",IF(H17="","",IF(AND(F10="*LAB",F17="-"),"F",IF(H17&gt;69.5,"A",IF(H17&gt;59.5,"B",IF(H17&gt;49.5,"C",IF(AND(D10="*PROGRAM",H17&lt;49.5),"F",IF(H17&gt;44.5,"D",IF(H17&gt;39.5,"E","F")))))))))</f>
        <v/>
      </c>
      <c r="J17" s="7" t="str">
        <f t="shared" si="0"/>
        <v/>
      </c>
      <c r="K17" s="1"/>
    </row>
    <row r="18" ht="15.75" customHeight="1" spans="1:11">
      <c r="A18" s="7">
        <v>8</v>
      </c>
      <c r="B18" s="8" t="s">
        <v>26</v>
      </c>
      <c r="C18" s="9">
        <v>20241436043</v>
      </c>
      <c r="D18" s="7" t="str">
        <f>IF(D11="","",IF(H18="","",D11))</f>
        <v/>
      </c>
      <c r="E18" s="7"/>
      <c r="F18" s="7"/>
      <c r="G18" s="7"/>
      <c r="H18" s="10" t="str">
        <f>IF(AND(E18="",F18="",G18=""),"",IF(SUM(E18:G18)&gt;100,"ERROR",IF(AND(E10="TEST",SUM(E18:G18)&lt;=100),SUM(E18:G18),IF(AND(E10="*TEST",F18="",E18&lt;=30,G18&lt;=70),SUM(E18:G18),IF(AND(E10="*TEST",F18&lt;=20,E18&lt;=20,G18&lt;=60),SUM(E18:G18),IF(AND(E10="*TEST",F18="-",E18&lt;=20,G18&lt;=60),SUM(E18:G18),"ERROR"))))))</f>
        <v/>
      </c>
      <c r="I18" s="7" t="str">
        <f>IF(H18="ERROR","ERROR",IF(H18="","",IF(AND(F10="*LAB",F18="-"),"F",IF(H18&gt;69.5,"A",IF(H18&gt;59.5,"B",IF(H18&gt;49.5,"C",IF(AND(D10="*PROGRAM",H18&lt;49.5),"F",IF(H18&gt;44.5,"D",IF(H18&gt;39.5,"E","F")))))))))</f>
        <v/>
      </c>
      <c r="J18" s="7" t="str">
        <f t="shared" si="0"/>
        <v/>
      </c>
      <c r="K18" s="1"/>
    </row>
    <row r="19" ht="15.75" customHeight="1" spans="1:11">
      <c r="A19" s="7">
        <v>9</v>
      </c>
      <c r="B19" s="8" t="s">
        <v>27</v>
      </c>
      <c r="C19" s="9">
        <v>20231405823</v>
      </c>
      <c r="D19" s="7" t="str">
        <f>IF(D11="","",IF(H19="","",D11))</f>
        <v/>
      </c>
      <c r="E19" s="7"/>
      <c r="F19" s="7"/>
      <c r="G19" s="7"/>
      <c r="H19" s="10" t="str">
        <f>IF(AND(E19="",F19="",G19=""),"",IF(SUM(E19:G19)&gt;100,"ERROR",IF(AND(E10="TEST",SUM(E19:G19)&lt;=100),SUM(E19:G19),IF(AND(E10="*TEST",F19="",E19&lt;=30,G19&lt;=70),SUM(E19:G19),IF(AND(E10="*TEST",F19&lt;=20,E19&lt;=20,G19&lt;=60),SUM(E19:G19),IF(AND(E10="*TEST",F19="-",E19&lt;=20,G19&lt;=60),SUM(E19:G19),"ERROR"))))))</f>
        <v/>
      </c>
      <c r="I19" s="7" t="str">
        <f>IF(H19="ERROR","ERROR",IF(H19="","",IF(AND(F10="*LAB",F19="-"),"F",IF(H19&gt;69.5,"A",IF(H19&gt;59.5,"B",IF(H19&gt;49.5,"C",IF(AND(D10="*PROGRAM",H19&lt;49.5),"F",IF(H19&gt;44.5,"D",IF(H19&gt;39.5,"E","F")))))))))</f>
        <v/>
      </c>
      <c r="J19" s="7" t="str">
        <f t="shared" si="0"/>
        <v/>
      </c>
      <c r="K19" s="1"/>
    </row>
    <row r="20" ht="15.75" customHeight="1" spans="1:11">
      <c r="A20" s="7">
        <v>10</v>
      </c>
      <c r="B20" s="8" t="s">
        <v>28</v>
      </c>
      <c r="C20" s="9">
        <v>20241448473</v>
      </c>
      <c r="D20" s="7" t="str">
        <f>IF(D11="","",IF(H20="","",D11))</f>
        <v/>
      </c>
      <c r="E20" s="7"/>
      <c r="F20" s="7"/>
      <c r="G20" s="7"/>
      <c r="H20" s="10" t="str">
        <f>IF(AND(E20="",F20="",G20=""),"",IF(SUM(E20:G20)&gt;100,"ERROR",IF(AND(E10="TEST",SUM(E20:G20)&lt;=100),SUM(E20:G20),IF(AND(E10="*TEST",F20="",E20&lt;=30,G20&lt;=70),SUM(E20:G20),IF(AND(E10="*TEST",F20&lt;=20,E20&lt;=20,G20&lt;=60),SUM(E20:G20),IF(AND(E10="*TEST",F20="-",E20&lt;=20,G20&lt;=60),SUM(E20:G20),"ERROR"))))))</f>
        <v/>
      </c>
      <c r="I20" s="7" t="str">
        <f>IF(H20="ERROR","ERROR",IF(H20="","",IF(AND(F10="*LAB",F20="-"),"F",IF(H20&gt;69.5,"A",IF(H20&gt;59.5,"B",IF(H20&gt;49.5,"C",IF(AND(D10="*PROGRAM",H20&lt;49.5),"F",IF(H20&gt;44.5,"D",IF(H20&gt;39.5,"E","F")))))))))</f>
        <v/>
      </c>
      <c r="J20" s="7" t="str">
        <f t="shared" si="0"/>
        <v/>
      </c>
      <c r="K20" s="1"/>
    </row>
    <row r="21" ht="15.75" customHeight="1" spans="1:11">
      <c r="A21" s="7">
        <v>11</v>
      </c>
      <c r="B21" s="8" t="s">
        <v>29</v>
      </c>
      <c r="C21" s="9">
        <v>20241493053</v>
      </c>
      <c r="D21" s="7" t="str">
        <f>IF(D11="","",IF(H21="","",D11))</f>
        <v/>
      </c>
      <c r="E21" s="7"/>
      <c r="F21" s="7"/>
      <c r="G21" s="7"/>
      <c r="H21" s="10" t="str">
        <f>IF(AND(E21="",F21="",G21=""),"",IF(SUM(E21:G21)&gt;100,"ERROR",IF(AND(E10="TEST",SUM(E21:G21)&lt;=100),SUM(E21:G21),IF(AND(E10="*TEST",F21="",E21&lt;=30,G21&lt;=70),SUM(E21:G21),IF(AND(E10="*TEST",F21&lt;=20,E21&lt;=20,G21&lt;=60),SUM(E21:G21),IF(AND(E10="*TEST",F21="-",E21&lt;=20,G21&lt;=60),SUM(E21:G21),"ERROR"))))))</f>
        <v/>
      </c>
      <c r="I21" s="7" t="str">
        <f>IF(H21="ERROR","ERROR",IF(H21="","",IF(AND(F10="*LAB",F21="-"),"F",IF(H21&gt;69.5,"A",IF(H21&gt;59.5,"B",IF(H21&gt;49.5,"C",IF(AND(D10="*PROGRAM",H21&lt;49.5),"F",IF(H21&gt;44.5,"D",IF(H21&gt;39.5,"E","F")))))))))</f>
        <v/>
      </c>
      <c r="J21" s="7" t="str">
        <f t="shared" si="0"/>
        <v/>
      </c>
      <c r="K21" s="1"/>
    </row>
    <row r="22" ht="15.75" customHeight="1" spans="1:11">
      <c r="A22" s="7">
        <v>12</v>
      </c>
      <c r="B22" s="8" t="s">
        <v>30</v>
      </c>
      <c r="C22" s="9">
        <v>20241441423</v>
      </c>
      <c r="D22" s="7" t="str">
        <f>IF(D11="","",IF(H22="","",D11))</f>
        <v/>
      </c>
      <c r="E22" s="7"/>
      <c r="F22" s="7"/>
      <c r="G22" s="7"/>
      <c r="H22" s="10" t="str">
        <f>IF(AND(E22="",F22="",G22=""),"",IF(SUM(E22:G22)&gt;100,"ERROR",IF(AND(E10="TEST",SUM(E22:G22)&lt;=100),SUM(E22:G22),IF(AND(E10="*TEST",F22="",E22&lt;=30,G22&lt;=70),SUM(E22:G22),IF(AND(E10="*TEST",F22&lt;=20,E22&lt;=20,G22&lt;=60),SUM(E22:G22),IF(AND(E10="*TEST",F22="-",E22&lt;=20,G22&lt;=60),SUM(E22:G22),"ERROR"))))))</f>
        <v/>
      </c>
      <c r="I22" s="7" t="str">
        <f>IF(H22="ERROR","ERROR",IF(H22="","",IF(AND(F10="*LAB",F22="-"),"F",IF(H22&gt;69.5,"A",IF(H22&gt;59.5,"B",IF(H22&gt;49.5,"C",IF(AND(D10="*PROGRAM",H22&lt;49.5),"F",IF(H22&gt;44.5,"D",IF(H22&gt;39.5,"E","F")))))))))</f>
        <v/>
      </c>
      <c r="J22" s="7" t="str">
        <f t="shared" si="0"/>
        <v/>
      </c>
      <c r="K22" s="1"/>
    </row>
    <row r="23" ht="15.75" customHeight="1" spans="1:11">
      <c r="A23" s="7">
        <v>13</v>
      </c>
      <c r="B23" s="8" t="s">
        <v>31</v>
      </c>
      <c r="C23" s="9">
        <v>20241432853</v>
      </c>
      <c r="D23" s="7" t="str">
        <f>IF(D11="","",IF(H23="","",D11))</f>
        <v/>
      </c>
      <c r="E23" s="7"/>
      <c r="F23" s="7"/>
      <c r="G23" s="7"/>
      <c r="H23" s="10" t="str">
        <f>IF(AND(E23="",F23="",G23=""),"",IF(SUM(E23:G23)&gt;100,"ERROR",IF(AND(E10="TEST",SUM(E23:G23)&lt;=100),SUM(E23:G23),IF(AND(E10="*TEST",F23="",E23&lt;=30,G23&lt;=70),SUM(E23:G23),IF(AND(E10="*TEST",F23&lt;=20,E23&lt;=20,G23&lt;=60),SUM(E23:G23),IF(AND(E10="*TEST",F23="-",E23&lt;=20,G23&lt;=60),SUM(E23:G23),"ERROR"))))))</f>
        <v/>
      </c>
      <c r="I23" s="7" t="str">
        <f>IF(H23="ERROR","ERROR",IF(H23="","",IF(AND(F10="*LAB",F23="-"),"F",IF(H23&gt;69.5,"A",IF(H23&gt;59.5,"B",IF(H23&gt;49.5,"C",IF(AND(D10="*PROGRAM",H23&lt;49.5),"F",IF(H23&gt;44.5,"D",IF(H23&gt;39.5,"E","F")))))))))</f>
        <v/>
      </c>
      <c r="J23" s="7" t="str">
        <f t="shared" si="0"/>
        <v/>
      </c>
      <c r="K23" s="1"/>
    </row>
    <row r="24" ht="15.75" customHeight="1" spans="1:11">
      <c r="A24" s="7">
        <v>14</v>
      </c>
      <c r="B24" s="8" t="s">
        <v>32</v>
      </c>
      <c r="C24" s="9">
        <v>20231417533</v>
      </c>
      <c r="D24" s="7" t="str">
        <f>IF(D11="","",IF(H24="","",D11))</f>
        <v/>
      </c>
      <c r="E24" s="7"/>
      <c r="F24" s="7"/>
      <c r="G24" s="7"/>
      <c r="H24" s="10" t="str">
        <f>IF(AND(E24="",F24="",G24=""),"",IF(SUM(E24:G24)&gt;100,"ERROR",IF(AND(E10="TEST",SUM(E24:G24)&lt;=100),SUM(E24:G24),IF(AND(E10="*TEST",F24="",E24&lt;=30,G24&lt;=70),SUM(E24:G24),IF(AND(E10="*TEST",F24&lt;=20,E24&lt;=20,G24&lt;=60),SUM(E24:G24),IF(AND(E10="*TEST",F24="-",E24&lt;=20,G24&lt;=60),SUM(E24:G24),"ERROR"))))))</f>
        <v/>
      </c>
      <c r="I24" s="7" t="str">
        <f>IF(H24="ERROR","ERROR",IF(H24="","",IF(AND(F10="*LAB",F24="-"),"F",IF(H24&gt;69.5,"A",IF(H24&gt;59.5,"B",IF(H24&gt;49.5,"C",IF(AND(D10="*PROGRAM",H24&lt;49.5),"F",IF(H24&gt;44.5,"D",IF(H24&gt;39.5,"E","F")))))))))</f>
        <v/>
      </c>
      <c r="J24" s="7" t="str">
        <f t="shared" si="0"/>
        <v/>
      </c>
      <c r="K24" s="1"/>
    </row>
    <row r="25" ht="15.75" customHeight="1" spans="1:11">
      <c r="A25" s="7">
        <v>15</v>
      </c>
      <c r="B25" s="8" t="s">
        <v>33</v>
      </c>
      <c r="C25" s="9">
        <v>20242461983</v>
      </c>
      <c r="D25" s="7" t="str">
        <f>IF(D11="","",IF(H25="","",D11))</f>
        <v/>
      </c>
      <c r="E25" s="7"/>
      <c r="F25" s="7"/>
      <c r="G25" s="7"/>
      <c r="H25" s="10" t="str">
        <f>IF(AND(E25="",F25="",G25=""),"",IF(SUM(E25:G25)&gt;100,"ERROR",IF(AND(E10="TEST",SUM(E25:G25)&lt;=100),SUM(E25:G25),IF(AND(E10="*TEST",F25="",E25&lt;=30,G25&lt;=70),SUM(E25:G25),IF(AND(E10="*TEST",F25&lt;=20,E25&lt;=20,G25&lt;=60),SUM(E25:G25),IF(AND(E10="*TEST",F25="-",E25&lt;=20,G25&lt;=60),SUM(E25:G25),"ERROR"))))))</f>
        <v/>
      </c>
      <c r="I25" s="7" t="str">
        <f>IF(H25="ERROR","ERROR",IF(H25="","",IF(AND(F10="*LAB",F25="-"),"F",IF(H25&gt;69.5,"A",IF(H25&gt;59.5,"B",IF(H25&gt;49.5,"C",IF(AND(D10="*PROGRAM",H25&lt;49.5),"F",IF(H25&gt;44.5,"D",IF(H25&gt;39.5,"E","F")))))))))</f>
        <v/>
      </c>
      <c r="J25" s="7" t="str">
        <f t="shared" si="0"/>
        <v/>
      </c>
      <c r="K25" s="1"/>
    </row>
    <row r="26" ht="15.75" customHeight="1" spans="1:11">
      <c r="A26" s="7">
        <v>16</v>
      </c>
      <c r="B26" s="8" t="s">
        <v>34</v>
      </c>
      <c r="C26" s="9">
        <v>20241436163</v>
      </c>
      <c r="D26" s="7" t="str">
        <f>IF(D11="","",IF(H26="","",D11))</f>
        <v/>
      </c>
      <c r="E26" s="7"/>
      <c r="F26" s="7"/>
      <c r="G26" s="7"/>
      <c r="H26" s="10" t="str">
        <f>IF(AND(E26="",F26="",G26=""),"",IF(SUM(E26:G26)&gt;100,"ERROR",IF(AND(E10="TEST",SUM(E26:G26)&lt;=100),SUM(E26:G26),IF(AND(E10="*TEST",F26="",E26&lt;=30,G26&lt;=70),SUM(E26:G26),IF(AND(E10="*TEST",F26&lt;=20,E26&lt;=20,G26&lt;=60),SUM(E26:G26),IF(AND(E10="*TEST",F26="-",E26&lt;=20,G26&lt;=60),SUM(E26:G26),"ERROR"))))))</f>
        <v/>
      </c>
      <c r="I26" s="7" t="str">
        <f>IF(H26="ERROR","ERROR",IF(H26="","",IF(AND(F10="*LAB",F26="-"),"F",IF(H26&gt;69.5,"A",IF(H26&gt;59.5,"B",IF(H26&gt;49.5,"C",IF(AND(D10="*PROGRAM",H26&lt;49.5),"F",IF(H26&gt;44.5,"D",IF(H26&gt;39.5,"E","F")))))))))</f>
        <v/>
      </c>
      <c r="J26" s="7" t="str">
        <f t="shared" si="0"/>
        <v/>
      </c>
      <c r="K26" s="1"/>
    </row>
    <row r="27" ht="15.75" customHeight="1" spans="1:11">
      <c r="A27" s="7">
        <v>17</v>
      </c>
      <c r="B27" s="8" t="s">
        <v>35</v>
      </c>
      <c r="C27" s="9">
        <v>20241429883</v>
      </c>
      <c r="D27" s="7" t="str">
        <f>IF(D11="","",IF(H27="","",D11))</f>
        <v/>
      </c>
      <c r="E27" s="7"/>
      <c r="F27" s="7"/>
      <c r="G27" s="7"/>
      <c r="H27" s="10" t="str">
        <f>IF(AND(E27="",F27="",G27=""),"",IF(SUM(E27:G27)&gt;100,"ERROR",IF(AND(E10="TEST",SUM(E27:G27)&lt;=100),SUM(E27:G27),IF(AND(E10="*TEST",F27="",E27&lt;=30,G27&lt;=70),SUM(E27:G27),IF(AND(E10="*TEST",F27&lt;=20,E27&lt;=20,G27&lt;=60),SUM(E27:G27),IF(AND(E10="*TEST",F27="-",E27&lt;=20,G27&lt;=60),SUM(E27:G27),"ERROR"))))))</f>
        <v/>
      </c>
      <c r="I27" s="7" t="str">
        <f>IF(H27="ERROR","ERROR",IF(H27="","",IF(AND(F10="*LAB",F27="-"),"F",IF(H27&gt;69.5,"A",IF(H27&gt;59.5,"B",IF(H27&gt;49.5,"C",IF(AND(D10="*PROGRAM",H27&lt;49.5),"F",IF(H27&gt;44.5,"D",IF(H27&gt;39.5,"E","F")))))))))</f>
        <v/>
      </c>
      <c r="J27" s="7" t="str">
        <f t="shared" si="0"/>
        <v/>
      </c>
      <c r="K27" s="1"/>
    </row>
    <row r="28" ht="15.75" customHeight="1" spans="1:11">
      <c r="A28" s="7">
        <v>18</v>
      </c>
      <c r="B28" s="8" t="s">
        <v>36</v>
      </c>
      <c r="C28" s="46" t="s">
        <v>37</v>
      </c>
      <c r="D28" s="7" t="str">
        <f>IF(D11="","",IF(H28="","",D11))</f>
        <v/>
      </c>
      <c r="E28" s="7"/>
      <c r="F28" s="7"/>
      <c r="G28" s="7"/>
      <c r="H28" s="10" t="str">
        <f>IF(AND(E28="",F28="",G28=""),"",IF(SUM(E28:G28)&gt;100,"ERROR",IF(AND(E10="TEST",SUM(E28:G28)&lt;=100),SUM(E28:G28),IF(AND(E10="*TEST",F28="",E28&lt;=30,G28&lt;=70),SUM(E28:G28),IF(AND(E10="*TEST",F28&lt;=20,E28&lt;=20,G28&lt;=60),SUM(E28:G28),IF(AND(E10="*TEST",F28="-",E28&lt;=20,G28&lt;=60),SUM(E28:G28),"ERROR"))))))</f>
        <v/>
      </c>
      <c r="I28" s="7" t="str">
        <f>IF(H28="ERROR","ERROR",IF(H28="","",IF(AND(F10="*LAB",F28="-"),"F",IF(H28&gt;69.5,"A",IF(H28&gt;59.5,"B",IF(H28&gt;49.5,"C",IF(AND(D10="*PROGRAM",H28&lt;49.5),"F",IF(H28&gt;44.5,"D",IF(H28&gt;39.5,"E","F")))))))))</f>
        <v/>
      </c>
      <c r="J28" s="7" t="str">
        <f t="shared" si="0"/>
        <v/>
      </c>
      <c r="K28" s="1"/>
    </row>
    <row r="29" ht="15.75" customHeight="1" spans="1:11">
      <c r="A29" s="7">
        <v>19</v>
      </c>
      <c r="B29" s="8" t="s">
        <v>38</v>
      </c>
      <c r="C29" s="9">
        <v>20241425123</v>
      </c>
      <c r="D29" s="7" t="str">
        <f>IF(D11="","",IF(H29="","",D11))</f>
        <v/>
      </c>
      <c r="E29" s="7"/>
      <c r="F29" s="7"/>
      <c r="G29" s="7"/>
      <c r="H29" s="10" t="str">
        <f>IF(AND(E29="",F29="",G29=""),"",IF(SUM(E29:G29)&gt;100,"ERROR",IF(AND(E10="TEST",SUM(E29:G29)&lt;=100),SUM(E29:G29),IF(AND(E10="*TEST",F29="",E29&lt;=30,G29&lt;=70),SUM(E29:G29),IF(AND(E10="*TEST",F29&lt;=20,E29&lt;=20,G29&lt;=60),SUM(E29:G29),IF(AND(E10="*TEST",F29="-",E29&lt;=20,G29&lt;=60),SUM(E29:G29),"ERROR"))))))</f>
        <v/>
      </c>
      <c r="I29" s="7" t="str">
        <f>IF(H29="ERROR","ERROR",IF(H29="","",IF(AND(F10="*LAB",F29="-"),"F",IF(H29&gt;69.5,"A",IF(H29&gt;59.5,"B",IF(H29&gt;49.5,"C",IF(AND(D10="*PROGRAM",H29&lt;49.5),"F",IF(H29&gt;44.5,"D",IF(H29&gt;39.5,"E","F")))))))))</f>
        <v/>
      </c>
      <c r="J29" s="7" t="str">
        <f t="shared" si="0"/>
        <v/>
      </c>
      <c r="K29" s="1"/>
    </row>
    <row r="30" ht="15.75" customHeight="1" spans="1:11">
      <c r="A30" s="7">
        <v>20</v>
      </c>
      <c r="B30" s="8" t="s">
        <v>39</v>
      </c>
      <c r="C30" s="9">
        <v>20241433803</v>
      </c>
      <c r="D30" s="7" t="str">
        <f>IF(D11="","",IF(H30="","",D11))</f>
        <v/>
      </c>
      <c r="E30" s="7"/>
      <c r="F30" s="7"/>
      <c r="G30" s="7"/>
      <c r="H30" s="10" t="str">
        <f>IF(AND(E30="",F30="",G30=""),"",IF(SUM(E30:G30)&gt;100,"ERROR",IF(AND(E10="TEST",SUM(E30:G30)&lt;=100),SUM(E30:G30),IF(AND(E10="*TEST",F30="",E30&lt;=30,G30&lt;=70),SUM(E30:G30),IF(AND(E10="*TEST",F30&lt;=20,E30&lt;=20,G30&lt;=60),SUM(E30:G30),IF(AND(E10="*TEST",F30="-",E30&lt;=20,G30&lt;=60),SUM(E30:G30),"ERROR"))))))</f>
        <v/>
      </c>
      <c r="I30" s="7" t="str">
        <f>IF(H30="ERROR","ERROR",IF(H30="","",IF(AND(F10="*LAB",F30="-"),"F",IF(H30&gt;69.5,"A",IF(H30&gt;59.5,"B",IF(H30&gt;49.5,"C",IF(AND(D10="*PROGRAM",H30&lt;49.5),"F",IF(H30&gt;44.5,"D",IF(H30&gt;39.5,"E","F")))))))))</f>
        <v/>
      </c>
      <c r="J30" s="7" t="str">
        <f t="shared" si="0"/>
        <v/>
      </c>
      <c r="K30" s="1"/>
    </row>
    <row r="31" ht="15.75" customHeight="1" spans="1:11">
      <c r="A31" s="7">
        <v>21</v>
      </c>
      <c r="B31" s="8" t="s">
        <v>40</v>
      </c>
      <c r="C31" s="9">
        <v>20241421743</v>
      </c>
      <c r="D31" s="7" t="str">
        <f>IF(D11="","",IF(H31="","",D11))</f>
        <v/>
      </c>
      <c r="E31" s="7"/>
      <c r="F31" s="7"/>
      <c r="G31" s="7"/>
      <c r="H31" s="10" t="str">
        <f>IF(AND(E31="",F31="",G31=""),"",IF(SUM(E31:G31)&gt;100,"ERROR",IF(AND(E10="TEST",SUM(E31:G31)&lt;=100),SUM(E31:G31),IF(AND(E10="*TEST",F31="",E31&lt;=30,G31&lt;=70),SUM(E31:G31),IF(AND(E10="*TEST",F31&lt;=20,E31&lt;=20,G31&lt;=60),SUM(E31:G31),IF(AND(E10="*TEST",F31="-",E31&lt;=20,G31&lt;=60),SUM(E31:G31),"ERROR"))))))</f>
        <v/>
      </c>
      <c r="I31" s="7" t="str">
        <f>IF(H31="ERROR","ERROR",IF(H31="","",IF(AND(F10="*LAB",F31="-"),"F",IF(H31&gt;69.5,"A",IF(H31&gt;59.5,"B",IF(H31&gt;49.5,"C",IF(AND(D10="*PROGRAM",H31&lt;49.5),"F",IF(H31&gt;44.5,"D",IF(H31&gt;39.5,"E","F")))))))))</f>
        <v/>
      </c>
      <c r="J31" s="7" t="str">
        <f t="shared" si="0"/>
        <v/>
      </c>
      <c r="K31" s="1"/>
    </row>
    <row r="32" ht="15.75" customHeight="1" spans="1:11">
      <c r="A32" s="7">
        <v>22</v>
      </c>
      <c r="B32" s="8" t="s">
        <v>41</v>
      </c>
      <c r="C32" s="9">
        <v>20241439953</v>
      </c>
      <c r="D32" s="7" t="str">
        <f>IF(D11="","",IF(H32="","",D11))</f>
        <v/>
      </c>
      <c r="E32" s="7"/>
      <c r="F32" s="7"/>
      <c r="G32" s="7"/>
      <c r="H32" s="10" t="str">
        <f>IF(AND(E32="",F32="",G32=""),"",IF(SUM(E32:G32)&gt;100,"ERROR",IF(AND(E10="TEST",SUM(E32:G32)&lt;=100),SUM(E32:G32),IF(AND(E10="*TEST",F32="",E32&lt;=30,G32&lt;=70),SUM(E32:G32),IF(AND(E10="*TEST",F32&lt;=20,E32&lt;=20,G32&lt;=60),SUM(E32:G32),IF(AND(E10="*TEST",F32="-",E32&lt;=20,G32&lt;=60),SUM(E32:G32),"ERROR"))))))</f>
        <v/>
      </c>
      <c r="I32" s="7" t="str">
        <f>IF(H32="ERROR","ERROR",IF(H32="","",IF(AND(F10="*LAB",F32="-"),"F",IF(H32&gt;69.5,"A",IF(H32&gt;59.5,"B",IF(H32&gt;49.5,"C",IF(AND(D10="*PROGRAM",H32&lt;49.5),"F",IF(H32&gt;44.5,"D",IF(H32&gt;39.5,"E","F")))))))))</f>
        <v/>
      </c>
      <c r="J32" s="7" t="str">
        <f t="shared" si="0"/>
        <v/>
      </c>
      <c r="K32" s="1"/>
    </row>
    <row r="33" ht="15.75" customHeight="1" spans="1:11">
      <c r="A33" s="7">
        <v>23</v>
      </c>
      <c r="B33" s="8" t="s">
        <v>42</v>
      </c>
      <c r="C33" s="9">
        <v>20241434943</v>
      </c>
      <c r="D33" s="7" t="str">
        <f>IF(D11="","",IF(H33="","",D11))</f>
        <v/>
      </c>
      <c r="E33" s="7"/>
      <c r="F33" s="7"/>
      <c r="G33" s="7"/>
      <c r="H33" s="10" t="str">
        <f>IF(AND(E33="",F33="",G33=""),"",IF(SUM(E33:G33)&gt;100,"ERROR",IF(AND(E10="TEST",SUM(E33:G33)&lt;=100),SUM(E33:G33),IF(AND(E10="*TEST",F33="",E33&lt;=30,G33&lt;=70),SUM(E33:G33),IF(AND(E10="*TEST",F33&lt;=20,E33&lt;=20,G33&lt;=60),SUM(E33:G33),IF(AND(E10="*TEST",F33="-",E33&lt;=20,G33&lt;=60),SUM(E33:G33),"ERROR"))))))</f>
        <v/>
      </c>
      <c r="I33" s="7" t="str">
        <f>IF(H33="ERROR","ERROR",IF(H33="","",IF(AND(F10="*LAB",F33="-"),"F",IF(H33&gt;69.5,"A",IF(H33&gt;59.5,"B",IF(H33&gt;49.5,"C",IF(AND(D10="*PROGRAM",H33&lt;49.5),"F",IF(H33&gt;44.5,"D",IF(H33&gt;39.5,"E","F")))))))))</f>
        <v/>
      </c>
      <c r="J33" s="7" t="str">
        <f t="shared" si="0"/>
        <v/>
      </c>
      <c r="K33" s="1"/>
    </row>
    <row r="34" ht="15.75" customHeight="1" spans="1:11">
      <c r="A34" s="7">
        <v>24</v>
      </c>
      <c r="B34" s="8" t="s">
        <v>43</v>
      </c>
      <c r="C34" s="11">
        <v>20241421603</v>
      </c>
      <c r="D34" s="7" t="str">
        <f>IF(D11="","",IF(H34="","",D11))</f>
        <v/>
      </c>
      <c r="E34" s="7"/>
      <c r="F34" s="7"/>
      <c r="G34" s="7"/>
      <c r="H34" s="10" t="str">
        <f>IF(AND(E34="",F34="",G34=""),"",IF(SUM(E34:G34)&gt;100,"ERROR",IF(AND(E10="TEST",SUM(E34:G34)&lt;=100),SUM(E34:G34),IF(AND(E10="*TEST",F34="",E34&lt;=30,G34&lt;=70),SUM(E34:G34),IF(AND(E10="*TEST",F34&lt;=20,E34&lt;=20,G34&lt;=60),SUM(E34:G34),IF(AND(E10="*TEST",F34="-",E34&lt;=20,G34&lt;=60),SUM(E34:G34),"ERROR"))))))</f>
        <v/>
      </c>
      <c r="I34" s="7" t="str">
        <f>IF(H34="ERROR","ERROR",IF(H34="","",IF(AND(F10="*LAB",F34="-"),"F",IF(H34&gt;69.5,"A",IF(H34&gt;59.5,"B",IF(H34&gt;49.5,"C",IF(AND(D10="*PROGRAM",H34&lt;49.5),"F",IF(H34&gt;44.5,"D",IF(H34&gt;39.5,"E","F")))))))))</f>
        <v/>
      </c>
      <c r="J34" s="7" t="str">
        <f t="shared" si="0"/>
        <v/>
      </c>
      <c r="K34" s="1"/>
    </row>
    <row r="35" ht="15.75" customHeight="1" spans="1:11">
      <c r="A35" s="7">
        <v>25</v>
      </c>
      <c r="B35" s="8" t="s">
        <v>44</v>
      </c>
      <c r="C35" s="9">
        <v>20241425943</v>
      </c>
      <c r="D35" s="7" t="str">
        <f>IF(D11="","",IF(H35="","",D11))</f>
        <v/>
      </c>
      <c r="E35" s="7"/>
      <c r="F35" s="7"/>
      <c r="G35" s="7"/>
      <c r="H35" s="10" t="str">
        <f>IF(AND(E35="",F35="",G35=""),"",IF(SUM(E35:G35)&gt;100,"ERROR",IF(AND(E10="TEST",SUM(E35:G35)&lt;=100),SUM(E35:G35),IF(AND(E10="*TEST",F35="",E35&lt;=30,G35&lt;=70),SUM(E35:G35),IF(AND(E10="*TEST",F35&lt;=20,E35&lt;=20,G35&lt;=60),SUM(E35:G35),IF(AND(E10="*TEST",F35="-",E35&lt;=20,G35&lt;=60),SUM(E35:G35),"ERROR"))))))</f>
        <v/>
      </c>
      <c r="I35" s="7" t="str">
        <f>IF(H35="ERROR","ERROR",IF(H35="","",IF(AND(F10="*LAB",F35="-"),"F",IF(H35&gt;69.5,"A",IF(H35&gt;59.5,"B",IF(H35&gt;49.5,"C",IF(AND(D10="*PROGRAM",H35&lt;49.5),"F",IF(H35&gt;44.5,"D",IF(H35&gt;39.5,"E","F")))))))))</f>
        <v/>
      </c>
      <c r="J35" s="7" t="str">
        <f t="shared" si="0"/>
        <v/>
      </c>
      <c r="K35" s="1"/>
    </row>
    <row r="36" ht="15.75" customHeight="1" spans="1:11">
      <c r="A36" s="7">
        <v>26</v>
      </c>
      <c r="B36" s="8" t="s">
        <v>45</v>
      </c>
      <c r="C36" s="9">
        <v>20241430503</v>
      </c>
      <c r="D36" s="7" t="str">
        <f>IF(D11="","",IF(H36="","",D11))</f>
        <v/>
      </c>
      <c r="E36" s="7"/>
      <c r="F36" s="7"/>
      <c r="G36" s="7"/>
      <c r="H36" s="10" t="str">
        <f>IF(AND(E36="",F36="",G36=""),"",IF(SUM(E36:G36)&gt;100,"ERROR",IF(AND(E10="TEST",SUM(E36:G36)&lt;=100),SUM(E36:G36),IF(AND(E10="*TEST",F36="",E36&lt;=30,G36&lt;=70),SUM(E36:G36),IF(AND(E10="*TEST",F36&lt;=20,E36&lt;=20,G36&lt;=60),SUM(E36:G36),IF(AND(E10="*TEST",F36="-",E36&lt;=20,G36&lt;=60),SUM(E36:G36),"ERROR"))))))</f>
        <v/>
      </c>
      <c r="I36" s="7" t="str">
        <f>IF(H36="ERROR","ERROR",IF(H36="","",IF(AND(F10="*LAB",F36="-"),"F",IF(H36&gt;69.5,"A",IF(H36&gt;59.5,"B",IF(H36&gt;49.5,"C",IF(AND(D10="*PROGRAM",H36&lt;49.5),"F",IF(H36&gt;44.5,"D",IF(H36&gt;39.5,"E","F")))))))))</f>
        <v/>
      </c>
      <c r="J36" s="7" t="str">
        <f t="shared" si="0"/>
        <v/>
      </c>
      <c r="K36" s="1"/>
    </row>
    <row r="37" ht="15.75" customHeight="1" spans="1:11">
      <c r="A37" s="7">
        <v>27</v>
      </c>
      <c r="B37" s="8" t="s">
        <v>46</v>
      </c>
      <c r="C37" s="9">
        <v>20241464193</v>
      </c>
      <c r="D37" s="7" t="str">
        <f>IF(D11="","",IF(H37="","",D11))</f>
        <v/>
      </c>
      <c r="E37" s="7"/>
      <c r="F37" s="7"/>
      <c r="G37" s="7"/>
      <c r="H37" s="10" t="str">
        <f>IF(AND(E37="",F37="",G37=""),"",IF(SUM(E37:G37)&gt;100,"ERROR",IF(AND(E10="TEST",SUM(E37:G37)&lt;=100),SUM(E37:G37),IF(AND(E10="*TEST",F37="",E37&lt;=30,G37&lt;=70),SUM(E37:G37),IF(AND(E10="*TEST",F37&lt;=20,E37&lt;=20,G37&lt;=60),SUM(E37:G37),IF(AND(E10="*TEST",F37="-",E37&lt;=20,G37&lt;=60),SUM(E37:G37),"ERROR"))))))</f>
        <v/>
      </c>
      <c r="I37" s="7" t="str">
        <f>IF(H37="ERROR","ERROR",IF(H37="","",IF(AND(F10="*LAB",F37="-"),"F",IF(H37&gt;69.5,"A",IF(H37&gt;59.5,"B",IF(H37&gt;49.5,"C",IF(AND(D10="*PROGRAM",H37&lt;49.5),"F",IF(H37&gt;44.5,"D",IF(H37&gt;39.5,"E","F")))))))))</f>
        <v/>
      </c>
      <c r="J37" s="7" t="str">
        <f t="shared" si="0"/>
        <v/>
      </c>
      <c r="K37" s="1"/>
    </row>
    <row r="38" ht="15.75" customHeight="1" spans="1:11">
      <c r="A38" s="7">
        <v>28</v>
      </c>
      <c r="B38" s="8" t="s">
        <v>47</v>
      </c>
      <c r="C38" s="9">
        <v>20241424313</v>
      </c>
      <c r="D38" s="7" t="str">
        <f>IF(D11="","",IF(H38="","",D11))</f>
        <v/>
      </c>
      <c r="E38" s="7"/>
      <c r="F38" s="7"/>
      <c r="G38" s="7"/>
      <c r="H38" s="10" t="str">
        <f>IF(AND(E38="",F38="",G38=""),"",IF(SUM(E38:G38)&gt;100,"ERROR",IF(AND(E10="TEST",SUM(E38:G38)&lt;=100),SUM(E38:G38),IF(AND(E10="*TEST",F38="",E38&lt;=30,G38&lt;=70),SUM(E38:G38),IF(AND(E10="*TEST",F38&lt;=20,E38&lt;=20,G38&lt;=60),SUM(E38:G38),IF(AND(E10="*TEST",F38="-",E38&lt;=20,G38&lt;=60),SUM(E38:G38),"ERROR"))))))</f>
        <v/>
      </c>
      <c r="I38" s="7" t="str">
        <f>IF(H38="ERROR","ERROR",IF(H38="","",IF(AND(F10="*LAB",F38="-"),"F",IF(H38&gt;69.5,"A",IF(H38&gt;59.5,"B",IF(H38&gt;49.5,"C",IF(AND(D10="*PROGRAM",H38&lt;49.5),"F",IF(H38&gt;44.5,"D",IF(H38&gt;39.5,"E","F")))))))))</f>
        <v/>
      </c>
      <c r="J38" s="7" t="str">
        <f t="shared" si="0"/>
        <v/>
      </c>
      <c r="K38" s="1"/>
    </row>
    <row r="39" ht="15.75" customHeight="1" spans="1:11">
      <c r="A39" s="7">
        <v>29</v>
      </c>
      <c r="B39" s="8" t="s">
        <v>48</v>
      </c>
      <c r="C39" s="9">
        <v>20241432413</v>
      </c>
      <c r="D39" s="7" t="str">
        <f>IF(D11="","",IF(H39="","",D11))</f>
        <v/>
      </c>
      <c r="E39" s="7"/>
      <c r="F39" s="7"/>
      <c r="G39" s="7"/>
      <c r="H39" s="10" t="str">
        <f>IF(AND(E39="",F39="",G39=""),"",IF(SUM(E39:G39)&gt;100,"ERROR",IF(AND(E10="TEST",SUM(E39:G39)&lt;=100),SUM(E39:G39),IF(AND(E10="*TEST",F39="",E39&lt;=30,G39&lt;=70),SUM(E39:G39),IF(AND(E10="*TEST",F39&lt;=20,E39&lt;=20,G39&lt;=60),SUM(E39:G39),IF(AND(E10="*TEST",F39="-",E39&lt;=20,G39&lt;=60),SUM(E39:G39),"ERROR"))))))</f>
        <v/>
      </c>
      <c r="I39" s="7" t="str">
        <f>IF(H39="ERROR","ERROR",IF(H39="","",IF(AND(F10="*LAB",F39="-"),"F",IF(H39&gt;69.5,"A",IF(H39&gt;59.5,"B",IF(H39&gt;49.5,"C",IF(AND(D10="*PROGRAM",H39&lt;49.5),"F",IF(H39&gt;44.5,"D",IF(H39&gt;39.5,"E","F")))))))))</f>
        <v/>
      </c>
      <c r="J39" s="7" t="str">
        <f t="shared" si="0"/>
        <v/>
      </c>
      <c r="K39" s="1"/>
    </row>
    <row r="40" ht="15.75" customHeight="1" spans="1:11">
      <c r="A40" s="7">
        <v>30</v>
      </c>
      <c r="B40" s="8" t="s">
        <v>49</v>
      </c>
      <c r="C40" s="9">
        <v>20241428923</v>
      </c>
      <c r="D40" s="7" t="str">
        <f>IF(D11="","",IF(H40="","",D11))</f>
        <v/>
      </c>
      <c r="E40" s="7"/>
      <c r="F40" s="7"/>
      <c r="G40" s="7"/>
      <c r="H40" s="10" t="str">
        <f>IF(AND(E40="",F40="",G40=""),"",IF(SUM(E40:G40)&gt;100,"ERROR",IF(AND(E10="TEST",SUM(E40:G40)&lt;=100),SUM(E40:G40),IF(AND(E10="*TEST",F40="",E40&lt;=30,G40&lt;=70),SUM(E40:G40),IF(AND(E10="*TEST",F40&lt;=20,E40&lt;=20,G40&lt;=60),SUM(E40:G40),IF(AND(E10="*TEST",F40="-",E40&lt;=20,G40&lt;=60),SUM(E40:G40),"ERROR"))))))</f>
        <v/>
      </c>
      <c r="I40" s="7" t="str">
        <f>IF(H40="ERROR","ERROR",IF(H40="","",IF(AND(F10="*LAB",F40="-"),"F",IF(H40&gt;69.5,"A",IF(H40&gt;59.5,"B",IF(H40&gt;49.5,"C",IF(AND(D10="*PROGRAM",H40&lt;49.5),"F",IF(H40&gt;44.5,"D",IF(H40&gt;39.5,"E","F")))))))))</f>
        <v/>
      </c>
      <c r="J40" s="7" t="str">
        <f t="shared" si="0"/>
        <v/>
      </c>
      <c r="K40" s="1"/>
    </row>
    <row r="41" ht="15.75" customHeight="1" spans="1:11">
      <c r="A41" s="7">
        <v>31</v>
      </c>
      <c r="B41" s="8" t="s">
        <v>50</v>
      </c>
      <c r="C41" s="9">
        <v>20241423023</v>
      </c>
      <c r="D41" s="7" t="str">
        <f>IF(D11="","",IF(H41="","",D11))</f>
        <v/>
      </c>
      <c r="E41" s="7"/>
      <c r="F41" s="7"/>
      <c r="G41" s="7"/>
      <c r="H41" s="10" t="str">
        <f>IF(AND(E41="",F41="",G41=""),"",IF(SUM(E41:G41)&gt;100,"ERROR",IF(AND(E10="TEST",SUM(E41:G41)&lt;=100),SUM(E41:G41),IF(AND(E10="*TEST",F41="",E41&lt;=30,G41&lt;=70),SUM(E41:G41),IF(AND(E10="*TEST",F41&lt;=20,E41&lt;=20,G41&lt;=60),SUM(E41:G41),IF(AND(E10="*TEST",F41="-",E41&lt;=20,G41&lt;=60),SUM(E41:G41),"ERROR"))))))</f>
        <v/>
      </c>
      <c r="I41" s="7" t="str">
        <f>IF(H41="ERROR","ERROR",IF(H41="","",IF(AND(F10="*LAB",F41="-"),"F",IF(H41&gt;69.5,"A",IF(H41&gt;59.5,"B",IF(H41&gt;49.5,"C",IF(AND(D10="*PROGRAM",H41&lt;49.5),"F",IF(H41&gt;44.5,"D",IF(H41&gt;39.5,"E","F")))))))))</f>
        <v/>
      </c>
      <c r="J41" s="7" t="str">
        <f t="shared" si="0"/>
        <v/>
      </c>
      <c r="K41" s="1"/>
    </row>
    <row r="42" ht="15.75" customHeight="1" spans="1:11">
      <c r="A42" s="7">
        <v>32</v>
      </c>
      <c r="B42" s="8" t="s">
        <v>51</v>
      </c>
      <c r="C42" s="9">
        <v>20241424963</v>
      </c>
      <c r="D42" s="7" t="str">
        <f>IF(D11="","",IF(H42="","",D11))</f>
        <v/>
      </c>
      <c r="E42" s="7"/>
      <c r="F42" s="7"/>
      <c r="G42" s="7"/>
      <c r="H42" s="10" t="str">
        <f>IF(AND(E42="",F42="",G42=""),"",IF(SUM(E42:G42)&gt;100,"ERROR",IF(AND(E10="TEST",SUM(E42:G42)&lt;=100),SUM(E42:G42),IF(AND(E10="*TEST",F42="",E42&lt;=30,G42&lt;=70),SUM(E42:G42),IF(AND(E10="*TEST",F42&lt;=20,E42&lt;=20,G42&lt;=60),SUM(E42:G42),IF(AND(E10="*TEST",F42="-",E42&lt;=20,G42&lt;=60),SUM(E42:G42),"ERROR"))))))</f>
        <v/>
      </c>
      <c r="I42" s="7" t="str">
        <f>IF(H42="ERROR","ERROR",IF(H42="","",IF(AND(F10="*LAB",F42="-"),"F",IF(H42&gt;69.5,"A",IF(H42&gt;59.5,"B",IF(H42&gt;49.5,"C",IF(AND(D10="*PROGRAM",H42&lt;49.5),"F",IF(H42&gt;44.5,"D",IF(H42&gt;39.5,"E","F")))))))))</f>
        <v/>
      </c>
      <c r="J42" s="7" t="str">
        <f t="shared" si="0"/>
        <v/>
      </c>
      <c r="K42" s="1"/>
    </row>
    <row r="43" ht="15.75" customHeight="1" spans="1:11">
      <c r="A43" s="7">
        <v>33</v>
      </c>
      <c r="B43" s="8" t="s">
        <v>52</v>
      </c>
      <c r="C43" s="9">
        <v>20241445523</v>
      </c>
      <c r="D43" s="7" t="str">
        <f>IF(D11="","",IF(H43="","",D11))</f>
        <v/>
      </c>
      <c r="E43" s="7"/>
      <c r="F43" s="7"/>
      <c r="G43" s="7"/>
      <c r="H43" s="10" t="str">
        <f>IF(AND(E43="",F43="",G43=""),"",IF(SUM(E43:G43)&gt;100,"ERROR",IF(AND(E10="TEST",SUM(E43:G43)&lt;=100),SUM(E43:G43),IF(AND(E10="*TEST",F43="",E43&lt;=30,G43&lt;=70),SUM(E43:G43),IF(AND(E10="*TEST",F43&lt;=20,E43&lt;=20,G43&lt;=60),SUM(E43:G43),IF(AND(E10="*TEST",F43="-",E43&lt;=20,G43&lt;=60),SUM(E43:G43),"ERROR"))))))</f>
        <v/>
      </c>
      <c r="I43" s="7" t="str">
        <f>IF(H43="ERROR","ERROR",IF(H43="","",IF(AND(F10="*LAB",F43="-"),"F",IF(H43&gt;69.5,"A",IF(H43&gt;59.5,"B",IF(H43&gt;49.5,"C",IF(AND(D10="*PROGRAM",H43&lt;49.5),"F",IF(H43&gt;44.5,"D",IF(H43&gt;39.5,"E","F")))))))))</f>
        <v/>
      </c>
      <c r="J43" s="7" t="str">
        <f t="shared" si="0"/>
        <v/>
      </c>
      <c r="K43" s="1"/>
    </row>
    <row r="44" ht="15.75" customHeight="1" spans="1:11">
      <c r="A44" s="7">
        <v>34</v>
      </c>
      <c r="B44" s="8" t="s">
        <v>53</v>
      </c>
      <c r="C44" s="9">
        <v>20241468573</v>
      </c>
      <c r="D44" s="7" t="str">
        <f>IF(D11="","",IF(H44="","",D11))</f>
        <v/>
      </c>
      <c r="E44" s="7"/>
      <c r="F44" s="7"/>
      <c r="G44" s="7"/>
      <c r="H44" s="10" t="str">
        <f>IF(AND(E44="",F44="",G44=""),"",IF(SUM(E44:G44)&gt;100,"ERROR",IF(AND(E10="TEST",SUM(E44:G44)&lt;=100),SUM(E44:G44),IF(AND(E10="*TEST",F44="",E44&lt;=30,G44&lt;=70),SUM(E44:G44),IF(AND(E10="*TEST",F44&lt;=20,E44&lt;=20,G44&lt;=60),SUM(E44:G44),IF(AND(E10="*TEST",F44="-",E44&lt;=20,G44&lt;=60),SUM(E44:G44),"ERROR"))))))</f>
        <v/>
      </c>
      <c r="I44" s="7" t="str">
        <f>IF(H44="ERROR","ERROR",IF(H44="","",IF(AND(F10="*LAB",F44="-"),"F",IF(H44&gt;69.5,"A",IF(H44&gt;59.5,"B",IF(H44&gt;49.5,"C",IF(AND(D10="*PROGRAM",H44&lt;49.5),"F",IF(H44&gt;44.5,"D",IF(H44&gt;39.5,"E","F")))))))))</f>
        <v/>
      </c>
      <c r="J44" s="7" t="str">
        <f t="shared" si="0"/>
        <v/>
      </c>
      <c r="K44" s="1"/>
    </row>
    <row r="45" ht="15.75" customHeight="1" spans="1:11">
      <c r="A45" s="7">
        <v>35</v>
      </c>
      <c r="B45" s="8" t="s">
        <v>54</v>
      </c>
      <c r="C45" s="9">
        <v>20241429003</v>
      </c>
      <c r="D45" s="7" t="str">
        <f>IF(D11="","",IF(H45="","",D11))</f>
        <v/>
      </c>
      <c r="E45" s="7"/>
      <c r="F45" s="7"/>
      <c r="G45" s="7"/>
      <c r="H45" s="10" t="str">
        <f>IF(AND(E45="",F45="",G45=""),"",IF(SUM(E45:G45)&gt;100,"ERROR",IF(AND(E10="TEST",SUM(E45:G45)&lt;=100),SUM(E45:G45),IF(AND(E10="*TEST",F45="",E45&lt;=30,G45&lt;=70),SUM(E45:G45),IF(AND(E10="*TEST",F45&lt;=20,E45&lt;=20,G45&lt;=60),SUM(E45:G45),IF(AND(E10="*TEST",F45="-",E45&lt;=20,G45&lt;=60),SUM(E45:G45),"ERROR"))))))</f>
        <v/>
      </c>
      <c r="I45" s="7" t="str">
        <f>IF(H45="ERROR","ERROR",IF(H45="","",IF(AND(F10="*LAB",F45="-"),"F",IF(H45&gt;69.5,"A",IF(H45&gt;59.5,"B",IF(H45&gt;49.5,"C",IF(AND(D10="*PROGRAM",H45&lt;49.5),"F",IF(H45&gt;44.5,"D",IF(H45&gt;39.5,"E","F")))))))))</f>
        <v/>
      </c>
      <c r="J45" s="7" t="str">
        <f t="shared" si="0"/>
        <v/>
      </c>
      <c r="K45" s="1"/>
    </row>
    <row r="46" ht="15.75" customHeight="1" spans="1:11">
      <c r="A46" s="7">
        <v>36</v>
      </c>
      <c r="B46" s="8" t="s">
        <v>55</v>
      </c>
      <c r="C46" s="9">
        <v>20241452393</v>
      </c>
      <c r="D46" s="7" t="str">
        <f>IF(D11="","",IF(H46="","",D11))</f>
        <v/>
      </c>
      <c r="E46" s="7"/>
      <c r="F46" s="7"/>
      <c r="G46" s="7"/>
      <c r="H46" s="10" t="str">
        <f>IF(AND(E46="",F46="",G46=""),"",IF(SUM(E46:G46)&gt;100,"ERROR",IF(AND(E10="TEST",SUM(E46:G46)&lt;=100),SUM(E46:G46),IF(AND(E10="*TEST",F46="",E46&lt;=30,G46&lt;=70),SUM(E46:G46),IF(AND(E10="*TEST",F46&lt;=20,E46&lt;=20,G46&lt;=60),SUM(E46:G46),IF(AND(E10="*TEST",F46="-",E46&lt;=20,G46&lt;=60),SUM(E46:G46),"ERROR"))))))</f>
        <v/>
      </c>
      <c r="I46" s="7" t="str">
        <f>IF(H46="ERROR","ERROR",IF(H46="","",IF(AND(F10="*LAB",F46="-"),"F",IF(H46&gt;69.5,"A",IF(H46&gt;59.5,"B",IF(H46&gt;49.5,"C",IF(AND(D10="*PROGRAM",H46&lt;49.5),"F",IF(H46&gt;44.5,"D",IF(H46&gt;39.5,"E","F")))))))))</f>
        <v/>
      </c>
      <c r="J46" s="7" t="str">
        <f t="shared" si="0"/>
        <v/>
      </c>
      <c r="K46" s="1"/>
    </row>
    <row r="47" ht="15.75" customHeight="1" spans="1:11">
      <c r="A47" s="7">
        <v>37</v>
      </c>
      <c r="B47" s="8" t="s">
        <v>56</v>
      </c>
      <c r="C47" s="9">
        <v>20241467373</v>
      </c>
      <c r="D47" s="7" t="str">
        <f>IF(D11="","",IF(H47="","",D11))</f>
        <v/>
      </c>
      <c r="E47" s="7"/>
      <c r="F47" s="7"/>
      <c r="G47" s="7"/>
      <c r="H47" s="10" t="str">
        <f>IF(AND(E47="",F47="",G47=""),"",IF(SUM(E47:G47)&gt;100,"ERROR",IF(AND(E10="TEST",SUM(E47:G47)&lt;=100),SUM(E47:G47),IF(AND(E10="*TEST",F47="",E47&lt;=30,G47&lt;=70),SUM(E47:G47),IF(AND(E10="*TEST",F47&lt;=20,E47&lt;=20,G47&lt;=60),SUM(E47:G47),IF(AND(E10="*TEST",F47="-",E47&lt;=20,G47&lt;=60),SUM(E47:G47),"ERROR"))))))</f>
        <v/>
      </c>
      <c r="I47" s="7" t="str">
        <f>IF(H47="ERROR","ERROR",IF(H47="","",IF(AND(F10="*LAB",F47="-"),"F",IF(H47&gt;69.5,"A",IF(H47&gt;59.5,"B",IF(H47&gt;49.5,"C",IF(AND(D10="*PROGRAM",H47&lt;49.5),"F",IF(H47&gt;44.5,"D",IF(H47&gt;39.5,"E","F")))))))))</f>
        <v/>
      </c>
      <c r="J47" s="7" t="str">
        <f t="shared" si="0"/>
        <v/>
      </c>
      <c r="K47" s="1"/>
    </row>
    <row r="48" ht="15.75" customHeight="1" spans="1:11">
      <c r="A48" s="7">
        <v>38</v>
      </c>
      <c r="B48" s="8" t="s">
        <v>57</v>
      </c>
      <c r="C48" s="9">
        <v>20241437793</v>
      </c>
      <c r="D48" s="7" t="str">
        <f>IF(D11="","",IF(H48="","",D11))</f>
        <v/>
      </c>
      <c r="E48" s="7"/>
      <c r="F48" s="7"/>
      <c r="G48" s="7"/>
      <c r="H48" s="10" t="str">
        <f>IF(AND(E48="",F48="",G48=""),"",IF(SUM(E48:G48)&gt;100,"ERROR",IF(AND(E10="TEST",SUM(E48:G48)&lt;=100),SUM(E48:G48),IF(AND(E10="*TEST",F48="",E48&lt;=30,G48&lt;=70),SUM(E48:G48),IF(AND(E10="*TEST",F48&lt;=20,E48&lt;=20,G48&lt;=60),SUM(E48:G48),IF(AND(E10="*TEST",F48="-",E48&lt;=20,G48&lt;=60),SUM(E48:G48),"ERROR"))))))</f>
        <v/>
      </c>
      <c r="I48" s="7" t="str">
        <f>IF(H48="ERROR","ERROR",IF(H48="","",IF(AND(F10="*LAB",F48="-"),"F",IF(H48&gt;69.5,"A",IF(H48&gt;59.5,"B",IF(H48&gt;49.5,"C",IF(AND(D10="*PROGRAM",H48&lt;49.5),"F",IF(H48&gt;44.5,"D",IF(H48&gt;39.5,"E","F")))))))))</f>
        <v/>
      </c>
      <c r="J48" s="7" t="str">
        <f t="shared" si="0"/>
        <v/>
      </c>
      <c r="K48" s="1"/>
    </row>
    <row r="49" ht="15.75" customHeight="1" spans="1:11">
      <c r="A49" s="7">
        <v>39</v>
      </c>
      <c r="B49" s="8" t="s">
        <v>58</v>
      </c>
      <c r="C49" s="9">
        <v>20241442413</v>
      </c>
      <c r="D49" s="7" t="str">
        <f>IF(D11="","",IF(H49="","",D11))</f>
        <v/>
      </c>
      <c r="E49" s="7"/>
      <c r="F49" s="7"/>
      <c r="G49" s="7"/>
      <c r="H49" s="10" t="str">
        <f>IF(AND(E49="",F49="",G49=""),"",IF(SUM(E49:G49)&gt;100,"ERROR",IF(AND(E10="TEST",SUM(E49:G49)&lt;=100),SUM(E49:G49),IF(AND(E10="*TEST",F49="",E49&lt;=30,G49&lt;=70),SUM(E49:G49),IF(AND(E10="*TEST",F49&lt;=20,E49&lt;=20,G49&lt;=60),SUM(E49:G49),IF(AND(E10="*TEST",F49="-",E49&lt;=20,G49&lt;=60),SUM(E49:G49),"ERROR"))))))</f>
        <v/>
      </c>
      <c r="I49" s="7" t="str">
        <f>IF(H49="ERROR","ERROR",IF(H49="","",IF(AND(F10="*LAB",F49="-"),"F",IF(H49&gt;69.5,"A",IF(H49&gt;59.5,"B",IF(H49&gt;49.5,"C",IF(AND(D10="*PROGRAM",H49&lt;49.5),"F",IF(H49&gt;44.5,"D",IF(H49&gt;39.5,"E","F")))))))))</f>
        <v/>
      </c>
      <c r="J49" s="7" t="str">
        <f t="shared" si="0"/>
        <v/>
      </c>
      <c r="K49" s="1"/>
    </row>
    <row r="50" ht="15.75" customHeight="1" spans="1:11">
      <c r="A50" s="7">
        <v>40</v>
      </c>
      <c r="B50" s="8" t="s">
        <v>59</v>
      </c>
      <c r="C50" s="9">
        <v>20241430883</v>
      </c>
      <c r="D50" s="7" t="str">
        <f>IF(D11="","",IF(H50="","",D11))</f>
        <v/>
      </c>
      <c r="E50" s="7"/>
      <c r="F50" s="7"/>
      <c r="G50" s="7"/>
      <c r="H50" s="10" t="str">
        <f>IF(AND(E50="",F50="",G50=""),"",IF(SUM(E50:G50)&gt;100,"ERROR",IF(AND(E10="TEST",SUM(E50:G50)&lt;=100),SUM(E50:G50),IF(AND(E10="*TEST",F50="",E50&lt;=30,G50&lt;=70),SUM(E50:G50),IF(AND(E10="*TEST",F50&lt;=20,E50&lt;=20,G50&lt;=60),SUM(E50:G50),IF(AND(E10="*TEST",F50="-",E50&lt;=20,G50&lt;=60),SUM(E50:G50),"ERROR"))))))</f>
        <v/>
      </c>
      <c r="I50" s="7" t="str">
        <f>IF(H50="ERROR","ERROR",IF(H50="","",IF(AND(F10="*LAB",F50="-"),"F",IF(H50&gt;69.5,"A",IF(H50&gt;59.5,"B",IF(H50&gt;49.5,"C",IF(AND(D10="*PROGRAM",H50&lt;49.5),"F",IF(H50&gt;44.5,"D",IF(H50&gt;39.5,"E","F")))))))))</f>
        <v/>
      </c>
      <c r="J50" s="7" t="str">
        <f t="shared" si="0"/>
        <v/>
      </c>
      <c r="K50" s="1"/>
    </row>
    <row r="51" ht="24.75" customHeight="1" spans="1:11">
      <c r="A51" s="1"/>
      <c r="B51" s="12"/>
      <c r="C51" s="1"/>
      <c r="D51" s="1"/>
      <c r="E51" s="1"/>
      <c r="F51" s="1"/>
      <c r="G51" s="13"/>
      <c r="H51" s="14"/>
      <c r="I51" s="14"/>
      <c r="J51" s="14"/>
      <c r="K51" s="1"/>
    </row>
    <row r="52" ht="15.75" customHeight="1" spans="1:11">
      <c r="A52" s="1"/>
      <c r="B52" s="15" t="s">
        <v>60</v>
      </c>
      <c r="C52" s="13"/>
      <c r="D52" s="13"/>
      <c r="E52" s="13"/>
      <c r="F52" s="13"/>
      <c r="G52" s="16" t="s">
        <v>61</v>
      </c>
      <c r="H52" s="17"/>
      <c r="I52" s="17"/>
      <c r="J52" s="17"/>
      <c r="K52" s="1"/>
    </row>
    <row r="53" ht="15.75" customHeight="1" spans="1:11">
      <c r="A53" s="1" t="str">
        <f>IF(AND(I70="",I11&lt;&gt;""),A889,"")</f>
        <v/>
      </c>
      <c r="B53" s="2" t="str">
        <f>IF(A53="","",B889)</f>
        <v/>
      </c>
      <c r="C53" s="16" t="s">
        <v>62</v>
      </c>
      <c r="D53" s="17"/>
      <c r="E53" s="17"/>
      <c r="F53" s="17"/>
      <c r="G53" s="1"/>
      <c r="H53" s="1"/>
      <c r="I53" s="1"/>
      <c r="J53" s="1"/>
      <c r="K53" s="1"/>
    </row>
    <row r="54" ht="15.75" customHeight="1" spans="1:11">
      <c r="A54" s="1" t="str">
        <f>IF(A53="","",A890)</f>
        <v/>
      </c>
      <c r="B54" s="2" t="str">
        <f>IF(A53="","",B890)</f>
        <v/>
      </c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 spans="1:11">
      <c r="A55" s="1" t="str">
        <f>IF(A53="","",A891)</f>
        <v/>
      </c>
      <c r="B55" s="2" t="str">
        <f>IF(A53="","",B891)</f>
        <v/>
      </c>
      <c r="C55" s="18" t="s">
        <v>63</v>
      </c>
      <c r="D55" s="17"/>
      <c r="E55" s="17"/>
      <c r="F55" s="17"/>
      <c r="G55" s="17"/>
      <c r="H55" s="17"/>
      <c r="I55" s="17"/>
      <c r="J55" s="24"/>
      <c r="K55" s="1"/>
    </row>
    <row r="56" ht="15.75" customHeight="1" spans="1:11">
      <c r="A56" s="1" t="str">
        <f>IF(A53="","",A892)</f>
        <v/>
      </c>
      <c r="B56" s="2" t="str">
        <f>IF(A53="","",B892)</f>
        <v/>
      </c>
      <c r="C56" s="19" t="s">
        <v>64</v>
      </c>
      <c r="F56" s="15"/>
      <c r="G56" s="15" t="s">
        <v>65</v>
      </c>
      <c r="J56" s="25"/>
      <c r="K56" s="1"/>
    </row>
    <row r="57" ht="15.75" customHeight="1" spans="1:11">
      <c r="A57" s="1" t="str">
        <f>IF(A53="","",A893)</f>
        <v/>
      </c>
      <c r="B57" s="2" t="str">
        <f>IF(A53="","",B893)</f>
        <v/>
      </c>
      <c r="C57" s="19" t="s">
        <v>66</v>
      </c>
      <c r="F57" s="15"/>
      <c r="G57" s="15" t="s">
        <v>67</v>
      </c>
      <c r="J57" s="25"/>
      <c r="K57" s="1"/>
    </row>
    <row r="58" ht="15.75" customHeight="1" spans="1:11">
      <c r="A58" s="1" t="str">
        <f>IF(A53="","",A894)</f>
        <v/>
      </c>
      <c r="B58" s="2" t="str">
        <f>IF(A53="","",B894)</f>
        <v/>
      </c>
      <c r="C58" s="20" t="s">
        <v>68</v>
      </c>
      <c r="D58" s="14"/>
      <c r="E58" s="14"/>
      <c r="F58" s="21"/>
      <c r="G58" s="21" t="s">
        <v>69</v>
      </c>
      <c r="H58" s="14"/>
      <c r="I58" s="14"/>
      <c r="J58" s="26"/>
      <c r="K58" s="1"/>
    </row>
    <row r="59" ht="15.75" customHeight="1" spans="1:11">
      <c r="A59" s="1" t="str">
        <f>IF(A53="","",A895)</f>
        <v/>
      </c>
      <c r="B59" s="22" t="str">
        <f>IF(A53="","",B895)</f>
        <v/>
      </c>
      <c r="C59" s="1"/>
      <c r="D59" s="1"/>
      <c r="E59" s="1"/>
      <c r="F59" s="1"/>
      <c r="G59" s="1"/>
      <c r="H59" s="1"/>
      <c r="I59" s="1"/>
      <c r="J59" s="27" t="s">
        <v>70</v>
      </c>
      <c r="K59" s="1"/>
    </row>
    <row r="60" ht="15.75" customHeight="1" spans="1:11">
      <c r="A60" s="23"/>
      <c r="B60" s="23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 spans="1:11">
      <c r="A61" s="1"/>
      <c r="B61" s="3" t="s">
        <v>0</v>
      </c>
      <c r="K61" s="1"/>
    </row>
    <row r="62" ht="15.75" customHeight="1" spans="1:11">
      <c r="A62" s="1"/>
      <c r="B62" s="4" t="s">
        <v>1</v>
      </c>
      <c r="K62" s="1"/>
    </row>
    <row r="63" ht="15.75" customHeight="1" spans="1:1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 spans="1:11">
      <c r="A64" s="2" t="str">
        <f t="shared" ref="A64:A67" si="1">A5</f>
        <v>School of Student: SEET</v>
      </c>
      <c r="D64" s="1"/>
      <c r="E64" s="5"/>
      <c r="K64" s="1"/>
    </row>
    <row r="65" ht="15.75" customHeight="1" spans="1:11">
      <c r="A65" s="2" t="str">
        <f t="shared" si="1"/>
        <v>Department: BIOMEDICAL ENGINEERING</v>
      </c>
      <c r="D65" s="1"/>
      <c r="E65" s="5" t="str">
        <f t="shared" ref="E64:E67" si="2">E6</f>
        <v>Session: ---------------------------------</v>
      </c>
      <c r="K65" s="1"/>
    </row>
    <row r="66" ht="15.75" customHeight="1" spans="1:11">
      <c r="A66" s="2" t="str">
        <f t="shared" si="1"/>
        <v>Title of Course: ------------------------</v>
      </c>
      <c r="D66" s="1"/>
      <c r="E66" s="5" t="str">
        <f t="shared" si="2"/>
        <v>Course Code: -------------------------</v>
      </c>
      <c r="K66" s="1"/>
    </row>
    <row r="67" ht="15.75" customHeight="1" spans="1:11">
      <c r="A67" s="2" t="str">
        <f t="shared" si="1"/>
        <v>School Offering Course: ----------------------------</v>
      </c>
      <c r="D67" s="1"/>
      <c r="E67" s="5" t="str">
        <f t="shared" si="2"/>
        <v>Date: -----------------------------</v>
      </c>
      <c r="K67" s="1"/>
    </row>
    <row r="68" ht="15.75" customHeight="1" spans="1:11">
      <c r="A68" s="1"/>
      <c r="B68" s="2"/>
      <c r="C68" s="1"/>
      <c r="D68" s="5"/>
      <c r="E68" s="5"/>
      <c r="F68" s="5"/>
      <c r="G68" s="5"/>
      <c r="H68" s="5"/>
      <c r="I68" s="5"/>
      <c r="J68" s="5"/>
      <c r="K68" s="1"/>
    </row>
    <row r="69" ht="15.75" customHeight="1" spans="1:11">
      <c r="A69" s="6" t="s">
        <v>9</v>
      </c>
      <c r="B69" s="6" t="s">
        <v>10</v>
      </c>
      <c r="C69" s="6" t="s">
        <v>11</v>
      </c>
      <c r="D69" s="6" t="s">
        <v>12</v>
      </c>
      <c r="E69" s="6" t="s">
        <v>13</v>
      </c>
      <c r="F69" s="6" t="s">
        <v>14</v>
      </c>
      <c r="G69" s="6" t="s">
        <v>15</v>
      </c>
      <c r="H69" s="6" t="s">
        <v>16</v>
      </c>
      <c r="I69" s="6" t="s">
        <v>17</v>
      </c>
      <c r="J69" s="6" t="s">
        <v>18</v>
      </c>
      <c r="K69" s="1"/>
    </row>
    <row r="70" ht="15.75" customHeight="1" spans="1:11">
      <c r="A70" s="28">
        <v>41</v>
      </c>
      <c r="B70" s="8" t="s">
        <v>71</v>
      </c>
      <c r="C70" s="9">
        <v>20241444403</v>
      </c>
      <c r="D70" s="7" t="str">
        <f>IF(D11="","",IF(H70="","",D11))</f>
        <v/>
      </c>
      <c r="E70" s="28"/>
      <c r="F70" s="28"/>
      <c r="G70" s="28"/>
      <c r="H70" s="10" t="str">
        <f>IF(AND(E70="",F70="",G70=""),"",IF(SUM(E70:G70)&gt;100,"ERROR",IF(AND(E10="TEST",SUM(E70:G70)&lt;=100),SUM(E70:G70),IF(AND(E10="*TEST",F70="",E70&lt;=30,G70&lt;=70),SUM(E70:G70),IF(AND(E10="*TEST",F70&lt;=20,E70&lt;=20,G70&lt;=60),SUM(E70:G70),IF(AND(E10="*TEST",F70="-",E70&lt;=20,G70&lt;=60),SUM(E70:G70),"ERROR"))))))</f>
        <v/>
      </c>
      <c r="I70" s="7" t="str">
        <f>IF(H70="ERROR","ERROR",IF(H70="","",IF(AND(F10="*LAB",F70="-"),"F",IF(H70&gt;69.5,"A",IF(H70&gt;59.5,"B",IF(H70&gt;49.5,"C",IF(AND(D10="*PROGRAM",H70&lt;49.5),"F",IF(H70&gt;44.5,"D",IF(H70&gt;39.5,"E","F")))))))))</f>
        <v/>
      </c>
      <c r="J70" s="7" t="str">
        <f t="shared" ref="J70:J107" si="3">IF(H70="ERROR","ERROR",IF(I70="","",IF(I70="F","FAIL","PASS")))</f>
        <v/>
      </c>
      <c r="K70" s="1"/>
    </row>
    <row r="71" ht="15.75" customHeight="1" spans="1:11">
      <c r="A71" s="28">
        <v>42</v>
      </c>
      <c r="B71" s="8" t="s">
        <v>72</v>
      </c>
      <c r="C71" s="9">
        <v>20241434633</v>
      </c>
      <c r="D71" s="7" t="str">
        <f>IF(D11="","",IF(H71="","",D11))</f>
        <v/>
      </c>
      <c r="E71" s="7"/>
      <c r="F71" s="7"/>
      <c r="G71" s="7"/>
      <c r="H71" s="10" t="str">
        <f>IF(AND(E71="",F71="",G71=""),"",IF(SUM(E71:G71)&gt;100,"ERROR",IF(AND(E10="TEST",SUM(E71:G71)&lt;=100),SUM(E71:G71),IF(AND(E10="*TEST",F71="",E71&lt;=30,G71&lt;=70),SUM(E71:G71),IF(AND(E10="*TEST",F71&lt;=20,E71&lt;=20,G71&lt;=60),SUM(E71:G71),IF(AND(E10="*TEST",F71="-",E71&lt;=20,G71&lt;=60),SUM(E71:G71),"ERROR"))))))</f>
        <v/>
      </c>
      <c r="I71" s="7" t="str">
        <f>IF(H71="ERROR","ERROR",IF(H71="","",IF(AND(F10="*LAB",F71="-"),"F",IF(H71&gt;69.5,"A",IF(H71&gt;59.5,"B",IF(H71&gt;49.5,"C",IF(AND(D10="*PROGRAM",H71&lt;49.5),"F",IF(H71&gt;44.5,"D",IF(H71&gt;39.5,"E","F")))))))))</f>
        <v/>
      </c>
      <c r="J71" s="7" t="str">
        <f t="shared" si="3"/>
        <v/>
      </c>
      <c r="K71" s="1"/>
    </row>
    <row r="72" ht="15.75" customHeight="1" spans="1:11">
      <c r="A72" s="28">
        <v>43</v>
      </c>
      <c r="B72" s="8" t="s">
        <v>73</v>
      </c>
      <c r="C72" s="9">
        <v>20241438483</v>
      </c>
      <c r="D72" s="7" t="str">
        <f>IF(D11="","",IF(H72="","",D11))</f>
        <v/>
      </c>
      <c r="E72" s="7"/>
      <c r="F72" s="7"/>
      <c r="G72" s="7"/>
      <c r="H72" s="10" t="str">
        <f>IF(AND(E72="",F72="",G72=""),"",IF(SUM(E72:G72)&gt;100,"ERROR",IF(AND(E10="TEST",SUM(E72:G72)&lt;=100),SUM(E72:G72),IF(AND(E10="*TEST",F72="",E72&lt;=30,G72&lt;=70),SUM(E72:G72),IF(AND(E10="*TEST",F72&lt;=20,E72&lt;=20,G72&lt;=60),SUM(E72:G72),IF(AND(E10="*TEST",F72="-",E72&lt;=20,G72&lt;=60),SUM(E72:G72),"ERROR"))))))</f>
        <v/>
      </c>
      <c r="I72" s="7" t="str">
        <f>IF(H72="ERROR","ERROR",IF(H72="","",IF(AND(F10="*LAB",F72="-"),"F",IF(H72&gt;69.5,"A",IF(H72&gt;59.5,"B",IF(H72&gt;49.5,"C",IF(AND(D10="*PROGRAM",H72&lt;49.5),"F",IF(H72&gt;44.5,"D",IF(H72&gt;39.5,"E","F")))))))))</f>
        <v/>
      </c>
      <c r="J72" s="7" t="str">
        <f t="shared" si="3"/>
        <v/>
      </c>
      <c r="K72" s="1"/>
    </row>
    <row r="73" ht="15.75" customHeight="1" spans="1:11">
      <c r="A73" s="28">
        <v>44</v>
      </c>
      <c r="B73" s="8" t="s">
        <v>74</v>
      </c>
      <c r="C73" s="9">
        <v>20241440283</v>
      </c>
      <c r="D73" s="7" t="str">
        <f>IF(D11="","",IF(H73="","",D11))</f>
        <v/>
      </c>
      <c r="E73" s="7"/>
      <c r="F73" s="7"/>
      <c r="G73" s="7"/>
      <c r="H73" s="10" t="str">
        <f>IF(AND(E73="",F73="",G73=""),"",IF(SUM(E73:G73)&gt;100,"ERROR",IF(AND(E10="TEST",SUM(E73:G73)&lt;=100),SUM(E73:G73),IF(AND(E10="*TEST",F73="",E73&lt;=30,G73&lt;=70),SUM(E73:G73),IF(AND(E10="*TEST",F73&lt;=20,E73&lt;=20,G73&lt;=60),SUM(E73:G73),IF(AND(E10="*TEST",F73="-",E73&lt;=20,G73&lt;=60),SUM(E73:G73),"ERROR"))))))</f>
        <v/>
      </c>
      <c r="I73" s="7" t="str">
        <f>IF(H73="ERROR","ERROR",IF(H73="","",IF(AND(F10="*LAB",F73="-"),"F",IF(H73&gt;69.5,"A",IF(H73&gt;59.5,"B",IF(H73&gt;49.5,"C",IF(AND(D10="*PROGRAM",H73&lt;49.5),"F",IF(H73&gt;44.5,"D",IF(H73&gt;39.5,"E","F")))))))))</f>
        <v/>
      </c>
      <c r="J73" s="7" t="str">
        <f t="shared" si="3"/>
        <v/>
      </c>
      <c r="K73" s="1"/>
    </row>
    <row r="74" ht="15.75" customHeight="1" spans="1:11">
      <c r="A74" s="28">
        <v>45</v>
      </c>
      <c r="B74" s="8" t="s">
        <v>75</v>
      </c>
      <c r="C74" s="9">
        <v>20241437463</v>
      </c>
      <c r="D74" s="7" t="str">
        <f>IF(D11="","",IF(H74="","",D11))</f>
        <v/>
      </c>
      <c r="E74" s="7"/>
      <c r="F74" s="7"/>
      <c r="G74" s="7"/>
      <c r="H74" s="10" t="str">
        <f>IF(AND(E74="",F74="",G74=""),"",IF(SUM(E74:G74)&gt;100,"ERROR",IF(AND(E10="TEST",SUM(E74:G74)&lt;=100),SUM(E74:G74),IF(AND(E10="*TEST",F74="",E74&lt;=30,G74&lt;=70),SUM(E74:G74),IF(AND(E10="*TEST",F74&lt;=20,E74&lt;=20,G74&lt;=60),SUM(E74:G74),IF(AND(E10="*TEST",F74="-",E74&lt;=20,G74&lt;=60),SUM(E74:G74),"ERROR"))))))</f>
        <v/>
      </c>
      <c r="I74" s="7" t="str">
        <f>IF(H74="ERROR","ERROR",IF(H74="","",IF(AND(F10="*LAB",F74="-"),"F",IF(H74&gt;69.5,"A",IF(H74&gt;59.5,"B",IF(H74&gt;49.5,"C",IF(AND(D10="*PROGRAM",H74&lt;49.5),"F",IF(H74&gt;44.5,"D",IF(H74&gt;39.5,"E","F")))))))))</f>
        <v/>
      </c>
      <c r="J74" s="7" t="str">
        <f t="shared" si="3"/>
        <v/>
      </c>
      <c r="K74" s="1"/>
    </row>
    <row r="75" ht="15.75" customHeight="1" spans="1:11">
      <c r="A75" s="28">
        <v>46</v>
      </c>
      <c r="B75" s="8" t="s">
        <v>76</v>
      </c>
      <c r="C75" s="9">
        <v>20241442143</v>
      </c>
      <c r="D75" s="7" t="str">
        <f>IF(D11="","",IF(H75="","",D11))</f>
        <v/>
      </c>
      <c r="E75" s="7"/>
      <c r="F75" s="7"/>
      <c r="G75" s="7"/>
      <c r="H75" s="10" t="str">
        <f>IF(AND(E75="",F75="",G75=""),"",IF(SUM(E75:G75)&gt;100,"ERROR",IF(AND(E10="TEST",SUM(E75:G75)&lt;=100),SUM(E75:G75),IF(AND(E10="*TEST",F75="",E75&lt;=30,G75&lt;=70),SUM(E75:G75),IF(AND(E10="*TEST",F75&lt;=20,E75&lt;=20,G75&lt;=60),SUM(E75:G75),IF(AND(E10="*TEST",F75="-",E75&lt;=20,G75&lt;=60),SUM(E75:G75),"ERROR"))))))</f>
        <v/>
      </c>
      <c r="I75" s="7" t="str">
        <f>IF(H75="ERROR","ERROR",IF(H75="","",IF(AND(F10="*LAB",F75="-"),"F",IF(H75&gt;69.5,"A",IF(H75&gt;59.5,"B",IF(H75&gt;49.5,"C",IF(AND(D10="*PROGRAM",H75&lt;49.5),"F",IF(H75&gt;44.5,"D",IF(H75&gt;39.5,"E","F")))))))))</f>
        <v/>
      </c>
      <c r="J75" s="7" t="str">
        <f t="shared" si="3"/>
        <v/>
      </c>
      <c r="K75" s="1"/>
    </row>
    <row r="76" ht="15.75" customHeight="1" spans="1:11">
      <c r="A76" s="28">
        <v>47</v>
      </c>
      <c r="B76" s="8" t="s">
        <v>77</v>
      </c>
      <c r="C76" s="9">
        <v>20241450343</v>
      </c>
      <c r="D76" s="7" t="str">
        <f>IF(D11="","",IF(H76="","",D11))</f>
        <v/>
      </c>
      <c r="E76" s="7"/>
      <c r="F76" s="7"/>
      <c r="G76" s="7"/>
      <c r="H76" s="10" t="str">
        <f>IF(AND(E76="",F76="",G76=""),"",IF(SUM(E76:G76)&gt;100,"ERROR",IF(AND(E10="TEST",SUM(E76:G76)&lt;=100),SUM(E76:G76),IF(AND(E10="*TEST",F76="",E76&lt;=30,G76&lt;=70),SUM(E76:G76),IF(AND(E10="*TEST",F76&lt;=20,E76&lt;=20,G76&lt;=60),SUM(E76:G76),IF(AND(E10="*TEST",F76="-",E76&lt;=20,G76&lt;=60),SUM(E76:G76),"ERROR"))))))</f>
        <v/>
      </c>
      <c r="I76" s="7" t="str">
        <f>IF(H76="ERROR","ERROR",IF(H76="","",IF(AND(F10="*LAB",F76="-"),"F",IF(H76&gt;69.5,"A",IF(H76&gt;59.5,"B",IF(H76&gt;49.5,"C",IF(AND(D10="*PROGRAM",H76&lt;49.5),"F",IF(H76&gt;44.5,"D",IF(H76&gt;39.5,"E","F")))))))))</f>
        <v/>
      </c>
      <c r="J76" s="7" t="str">
        <f t="shared" si="3"/>
        <v/>
      </c>
      <c r="K76" s="1"/>
    </row>
    <row r="77" ht="15.75" customHeight="1" spans="1:11">
      <c r="A77" s="28">
        <v>48</v>
      </c>
      <c r="B77" s="8" t="s">
        <v>78</v>
      </c>
      <c r="C77" s="9">
        <v>20241438773</v>
      </c>
      <c r="D77" s="7" t="str">
        <f>IF(D11="","",IF(H77="","",D11))</f>
        <v/>
      </c>
      <c r="E77" s="7"/>
      <c r="F77" s="7"/>
      <c r="G77" s="7"/>
      <c r="H77" s="10" t="str">
        <f>IF(AND(E77="",F77="",G77=""),"",IF(SUM(E77:G77)&gt;100,"ERROR",IF(AND(E10="TEST",SUM(E77:G77)&lt;=100),SUM(E77:G77),IF(AND(E10="*TEST",F77="",E77&lt;=30,G77&lt;=70),SUM(E77:G77),IF(AND(E10="*TEST",F77&lt;=20,E77&lt;=20,G77&lt;=60),SUM(E77:G77),IF(AND(E10="*TEST",F77="-",E77&lt;=20,G77&lt;=60),SUM(E77:G77),"ERROR"))))))</f>
        <v/>
      </c>
      <c r="I77" s="7" t="str">
        <f>IF(H77="ERROR","ERROR",IF(H77="","",IF(AND(F10="*LAB",F77="-"),"F",IF(H77&gt;69.5,"A",IF(H77&gt;59.5,"B",IF(H77&gt;49.5,"C",IF(AND(D10="*PROGRAM",H77&lt;49.5),"F",IF(H77&gt;44.5,"D",IF(H77&gt;39.5,"E","F")))))))))</f>
        <v/>
      </c>
      <c r="J77" s="7" t="str">
        <f t="shared" si="3"/>
        <v/>
      </c>
      <c r="K77" s="1"/>
    </row>
    <row r="78" ht="15.75" customHeight="1" spans="1:11">
      <c r="A78" s="28">
        <v>49</v>
      </c>
      <c r="B78" s="8" t="s">
        <v>79</v>
      </c>
      <c r="C78" s="9">
        <v>20241423313</v>
      </c>
      <c r="D78" s="7" t="str">
        <f>IF(D11="","",IF(H78="","",D11))</f>
        <v/>
      </c>
      <c r="E78" s="7"/>
      <c r="F78" s="7"/>
      <c r="G78" s="7"/>
      <c r="H78" s="10" t="str">
        <f>IF(AND(E78="",F78="",G78=""),"",IF(SUM(E78:G78)&gt;100,"ERROR",IF(AND(E10="TEST",SUM(E78:G78)&lt;=100),SUM(E78:G78),IF(AND(E10="*TEST",F78="",E78&lt;=30,G78&lt;=70),SUM(E78:G78),IF(AND(E10="*TEST",F78&lt;=20,E78&lt;=20,G78&lt;=60),SUM(E78:G78),IF(AND(E10="*TEST",F78="-",E78&lt;=20,G78&lt;=60),SUM(E78:G78),"ERROR"))))))</f>
        <v/>
      </c>
      <c r="I78" s="7" t="str">
        <f>IF(H78="ERROR","ERROR",IF(H78="","",IF(AND(F10="*LAB",F78="-"),"F",IF(H78&gt;69.5,"A",IF(H78&gt;59.5,"B",IF(H78&gt;49.5,"C",IF(AND(D10="*PROGRAM",H78&lt;49.5),"F",IF(H78&gt;44.5,"D",IF(H78&gt;39.5,"E","F")))))))))</f>
        <v/>
      </c>
      <c r="J78" s="7" t="str">
        <f t="shared" si="3"/>
        <v/>
      </c>
      <c r="K78" s="1"/>
    </row>
    <row r="79" ht="15.75" customHeight="1" spans="1:11">
      <c r="A79" s="28">
        <v>50</v>
      </c>
      <c r="B79" s="8" t="s">
        <v>80</v>
      </c>
      <c r="C79" s="9">
        <v>20241451993</v>
      </c>
      <c r="D79" s="7" t="str">
        <f>IF(D11="","",IF(H79="","",D11))</f>
        <v/>
      </c>
      <c r="E79" s="7"/>
      <c r="F79" s="7"/>
      <c r="G79" s="7"/>
      <c r="H79" s="10" t="str">
        <f>IF(AND(E79="",F79="",G79=""),"",IF(SUM(E79:G79)&gt;100,"ERROR",IF(AND(E10="TEST",SUM(E79:G79)&lt;=100),SUM(E79:G79),IF(AND(E10="*TEST",F79="",E79&lt;=30,G79&lt;=70),SUM(E79:G79),IF(AND(E10="*TEST",F79&lt;=20,E79&lt;=20,G79&lt;=60),SUM(E79:G79),IF(AND(E10="*TEST",F79="-",E79&lt;=20,G79&lt;=60),SUM(E79:G79),"ERROR"))))))</f>
        <v/>
      </c>
      <c r="I79" s="7" t="str">
        <f>IF(H79="ERROR","ERROR",IF(H79="","",IF(AND(F10="*LAB",F79="-"),"F",IF(H79&gt;69.5,"A",IF(H79&gt;59.5,"B",IF(H79&gt;49.5,"C",IF(AND(D10="*PROGRAM",H79&lt;49.5),"F",IF(H79&gt;44.5,"D",IF(H79&gt;39.5,"E","F")))))))))</f>
        <v/>
      </c>
      <c r="J79" s="7" t="str">
        <f t="shared" si="3"/>
        <v/>
      </c>
      <c r="K79" s="1"/>
    </row>
    <row r="80" ht="15.75" customHeight="1" spans="1:11">
      <c r="A80" s="28">
        <v>51</v>
      </c>
      <c r="B80" s="8" t="s">
        <v>81</v>
      </c>
      <c r="C80" s="9">
        <v>20241484013</v>
      </c>
      <c r="D80" s="7" t="str">
        <f>IF(D11="","",IF(H80="","",D11))</f>
        <v/>
      </c>
      <c r="E80" s="7"/>
      <c r="F80" s="7"/>
      <c r="G80" s="7"/>
      <c r="H80" s="10" t="str">
        <f>IF(AND(E80="",F80="",G80=""),"",IF(SUM(E80:G80)&gt;100,"ERROR",IF(AND(E10="TEST",SUM(E80:G80)&lt;=100),SUM(E80:G80),IF(AND(E10="*TEST",F80="",E80&lt;=30,G80&lt;=70),SUM(E80:G80),IF(AND(E10="*TEST",F80&lt;=20,E80&lt;=20,G80&lt;=60),SUM(E80:G80),IF(AND(E10="*TEST",F80="-",E80&lt;=20,G80&lt;=60),SUM(E80:G80),"ERROR"))))))</f>
        <v/>
      </c>
      <c r="I80" s="7" t="str">
        <f>IF(H80="ERROR","ERROR",IF(H80="","",IF(AND(F10="*LAB",F80="-"),"F",IF(H80&gt;69.5,"A",IF(H80&gt;59.5,"B",IF(H80&gt;49.5,"C",IF(AND(D10="*PROGRAM",H80&lt;49.5),"F",IF(H80&gt;44.5,"D",IF(H80&gt;39.5,"E","F")))))))))</f>
        <v/>
      </c>
      <c r="J80" s="7" t="str">
        <f t="shared" si="3"/>
        <v/>
      </c>
      <c r="K80" s="1"/>
    </row>
    <row r="81" ht="15.75" customHeight="1" spans="1:11">
      <c r="A81" s="28">
        <v>52</v>
      </c>
      <c r="B81" s="8" t="s">
        <v>82</v>
      </c>
      <c r="C81" s="46" t="s">
        <v>83</v>
      </c>
      <c r="D81" s="7" t="str">
        <f>IF(D11="","",IF(H81="","",D11))</f>
        <v/>
      </c>
      <c r="E81" s="7"/>
      <c r="F81" s="7"/>
      <c r="G81" s="7"/>
      <c r="H81" s="10" t="str">
        <f>IF(AND(E81="",F81="",G81=""),"",IF(SUM(E81:G81)&gt;100,"ERROR",IF(AND(E10="TEST",SUM(E81:G81)&lt;=100),SUM(E81:G81),IF(AND(E10="*TEST",F81="",E81&lt;=30,G81&lt;=70),SUM(E81:G81),IF(AND(E10="*TEST",F81&lt;=20,E81&lt;=20,G81&lt;=60),SUM(E81:G81),IF(AND(E10="*TEST",F81="-",E81&lt;=20,G81&lt;=60),SUM(E81:G81),"ERROR"))))))</f>
        <v/>
      </c>
      <c r="I81" s="7" t="str">
        <f>IF(H81="ERROR","ERROR",IF(H81="","",IF(AND(F10="*LAB",F81="-"),"F",IF(H81&gt;69.5,"A",IF(H81&gt;59.5,"B",IF(H81&gt;49.5,"C",IF(AND(D10="*PROGRAM",H81&lt;49.5),"F",IF(H81&gt;44.5,"D",IF(H81&gt;39.5,"E","F")))))))))</f>
        <v/>
      </c>
      <c r="J81" s="7" t="str">
        <f t="shared" si="3"/>
        <v/>
      </c>
      <c r="K81" s="1"/>
    </row>
    <row r="82" ht="15.75" customHeight="1" spans="1:11">
      <c r="A82" s="28">
        <v>53</v>
      </c>
      <c r="B82" s="8" t="s">
        <v>84</v>
      </c>
      <c r="C82" s="9">
        <v>20241430733</v>
      </c>
      <c r="D82" s="7" t="str">
        <f>IF(D11="","",IF(H82="","",D11))</f>
        <v/>
      </c>
      <c r="E82" s="7"/>
      <c r="F82" s="7"/>
      <c r="G82" s="7"/>
      <c r="H82" s="10" t="str">
        <f>IF(AND(E82="",F82="",G82=""),"",IF(SUM(E82:G82)&gt;100,"ERROR",IF(AND(E10="TEST",SUM(E82:G82)&lt;=100),SUM(E82:G82),IF(AND(E10="*TEST",F82="",E82&lt;=30,G82&lt;=70),SUM(E82:G82),IF(AND(E10="*TEST",F82&lt;=20,E82&lt;=20,G82&lt;=60),SUM(E82:G82),IF(AND(E10="*TEST",F82="-",E82&lt;=20,G82&lt;=60),SUM(E82:G82),"ERROR"))))))</f>
        <v/>
      </c>
      <c r="I82" s="7" t="str">
        <f>IF(H82="ERROR","ERROR",IF(H82="","",IF(AND(F10="*LAB",F82="-"),"F",IF(H82&gt;69.5,"A",IF(H82&gt;59.5,"B",IF(H82&gt;49.5,"C",IF(AND(D10="*PROGRAM",H82&lt;49.5),"F",IF(H82&gt;44.5,"D",IF(H82&gt;39.5,"E","F")))))))))</f>
        <v/>
      </c>
      <c r="J82" s="7" t="str">
        <f t="shared" si="3"/>
        <v/>
      </c>
      <c r="K82" s="1"/>
    </row>
    <row r="83" ht="15.75" customHeight="1" spans="1:11">
      <c r="A83" s="28">
        <v>54</v>
      </c>
      <c r="B83" s="8" t="s">
        <v>85</v>
      </c>
      <c r="C83" s="9">
        <v>20241455643</v>
      </c>
      <c r="D83" s="7" t="str">
        <f>IF(D11="","",IF(H83="","",D11))</f>
        <v/>
      </c>
      <c r="E83" s="7"/>
      <c r="F83" s="7"/>
      <c r="G83" s="7"/>
      <c r="H83" s="10" t="str">
        <f>IF(AND(E83="",F83="",G83=""),"",IF(SUM(E83:G83)&gt;100,"ERROR",IF(AND(E10="TEST",SUM(E83:G83)&lt;=100),SUM(E83:G83),IF(AND(E10="*TEST",F83="",E83&lt;=30,G83&lt;=70),SUM(E83:G83),IF(AND(E10="*TEST",F83&lt;=20,E83&lt;=20,G83&lt;=60),SUM(E83:G83),IF(AND(E10="*TEST",F83="-",E83&lt;=20,G83&lt;=60),SUM(E83:G83),"ERROR"))))))</f>
        <v/>
      </c>
      <c r="I83" s="7" t="str">
        <f>IF(H83="ERROR","ERROR",IF(H83="","",IF(AND(F10="*LAB",F83="-"),"F",IF(H83&gt;69.5,"A",IF(H83&gt;59.5,"B",IF(H83&gt;49.5,"C",IF(AND(D10="*PROGRAM",H83&lt;49.5),"F",IF(H83&gt;44.5,"D",IF(H83&gt;39.5,"E","F")))))))))</f>
        <v/>
      </c>
      <c r="J83" s="7" t="str">
        <f t="shared" si="3"/>
        <v/>
      </c>
      <c r="K83" s="1"/>
    </row>
    <row r="84" ht="15.75" customHeight="1" spans="1:11">
      <c r="A84" s="28">
        <v>55</v>
      </c>
      <c r="B84" s="8" t="s">
        <v>86</v>
      </c>
      <c r="C84" s="9">
        <v>20241443633</v>
      </c>
      <c r="D84" s="7" t="str">
        <f>IF(D11="","",IF(H84="","",D11))</f>
        <v/>
      </c>
      <c r="E84" s="7"/>
      <c r="F84" s="7"/>
      <c r="G84" s="7"/>
      <c r="H84" s="10" t="str">
        <f>IF(AND(E84="",F84="",G84=""),"",IF(SUM(E84:G84)&gt;100,"ERROR",IF(AND(E10="TEST",SUM(E84:G84)&lt;=100),SUM(E84:G84),IF(AND(E10="*TEST",F84="",E84&lt;=30,G84&lt;=70),SUM(E84:G84),IF(AND(E10="*TEST",F84&lt;=20,E84&lt;=20,G84&lt;=60),SUM(E84:G84),IF(AND(E10="*TEST",F84="-",E84&lt;=20,G84&lt;=60),SUM(E84:G84),"ERROR"))))))</f>
        <v/>
      </c>
      <c r="I84" s="7" t="str">
        <f>IF(H84="ERROR","ERROR",IF(H84="","",IF(AND(F10="*LAB",F84="-"),"F",IF(H84&gt;69.5,"A",IF(H84&gt;59.5,"B",IF(H84&gt;49.5,"C",IF(AND(D10="*PROGRAM",H84&lt;49.5),"F",IF(H84&gt;44.5,"D",IF(H84&gt;39.5,"E","F")))))))))</f>
        <v/>
      </c>
      <c r="J84" s="7" t="str">
        <f t="shared" si="3"/>
        <v/>
      </c>
      <c r="K84" s="1"/>
    </row>
    <row r="85" ht="15.75" customHeight="1" spans="1:11">
      <c r="A85" s="28">
        <v>56</v>
      </c>
      <c r="B85" s="8" t="s">
        <v>87</v>
      </c>
      <c r="C85" s="9">
        <v>20241431973</v>
      </c>
      <c r="D85" s="7" t="str">
        <f>IF(D11="","",IF(H85="","",D11))</f>
        <v/>
      </c>
      <c r="E85" s="7"/>
      <c r="F85" s="7"/>
      <c r="G85" s="7"/>
      <c r="H85" s="10" t="str">
        <f>IF(AND(E85="",F85="",G85=""),"",IF(SUM(E85:G85)&gt;100,"ERROR",IF(AND(E10="TEST",SUM(E85:G85)&lt;=100),SUM(E85:G85),IF(AND(E10="*TEST",F85="",E85&lt;=30,G85&lt;=70),SUM(E85:G85),IF(AND(E10="*TEST",F85&lt;=20,E85&lt;=20,G85&lt;=60),SUM(E85:G85),IF(AND(E10="*TEST",F85="-",E85&lt;=20,G85&lt;=60),SUM(E85:G85),"ERROR"))))))</f>
        <v/>
      </c>
      <c r="I85" s="7" t="str">
        <f>IF(H85="ERROR","ERROR",IF(H85="","",IF(AND(F10="*LAB",F85="-"),"F",IF(H85&gt;69.5,"A",IF(H85&gt;59.5,"B",IF(H85&gt;49.5,"C",IF(AND(D10="*PROGRAM",H85&lt;49.5),"F",IF(H85&gt;44.5,"D",IF(H85&gt;39.5,"E","F")))))))))</f>
        <v/>
      </c>
      <c r="J85" s="7" t="str">
        <f t="shared" si="3"/>
        <v/>
      </c>
      <c r="K85" s="1"/>
    </row>
    <row r="86" ht="15.75" customHeight="1" spans="1:11">
      <c r="A86" s="28">
        <v>57</v>
      </c>
      <c r="B86" s="8" t="s">
        <v>88</v>
      </c>
      <c r="C86" s="9">
        <v>20241436623</v>
      </c>
      <c r="D86" s="7" t="str">
        <f>IF(D11="","",IF(H86="","",D11))</f>
        <v/>
      </c>
      <c r="E86" s="7"/>
      <c r="F86" s="7"/>
      <c r="G86" s="7"/>
      <c r="H86" s="10" t="str">
        <f>IF(AND(E86="",F86="",G86=""),"",IF(SUM(E86:G86)&gt;100,"ERROR",IF(AND(E10="TEST",SUM(E86:G86)&lt;=100),SUM(E86:G86),IF(AND(E10="*TEST",F86="",E86&lt;=30,G86&lt;=70),SUM(E86:G86),IF(AND(E10="*TEST",F86&lt;=20,E86&lt;=20,G86&lt;=60),SUM(E86:G86),IF(AND(E10="*TEST",F86="-",E86&lt;=20,G86&lt;=60),SUM(E86:G86),"ERROR"))))))</f>
        <v/>
      </c>
      <c r="I86" s="7" t="str">
        <f>IF(H86="ERROR","ERROR",IF(H86="","",IF(AND(F10="*LAB",F86="-"),"F",IF(H86&gt;69.5,"A",IF(H86&gt;59.5,"B",IF(H86&gt;49.5,"C",IF(AND(D10="*PROGRAM",H86&lt;49.5),"F",IF(H86&gt;44.5,"D",IF(H86&gt;39.5,"E","F")))))))))</f>
        <v/>
      </c>
      <c r="J86" s="7" t="str">
        <f t="shared" si="3"/>
        <v/>
      </c>
      <c r="K86" s="1"/>
    </row>
    <row r="87" ht="15.75" customHeight="1" spans="1:11">
      <c r="A87" s="28">
        <v>58</v>
      </c>
      <c r="B87" s="8" t="s">
        <v>89</v>
      </c>
      <c r="C87" s="9">
        <v>20241446093</v>
      </c>
      <c r="D87" s="7" t="str">
        <f>IF(D11="","",IF(H87="","",D11))</f>
        <v/>
      </c>
      <c r="E87" s="7"/>
      <c r="F87" s="7"/>
      <c r="G87" s="7"/>
      <c r="H87" s="10" t="str">
        <f>IF(AND(E87="",F87="",G87=""),"",IF(SUM(E87:G87)&gt;100,"ERROR",IF(AND(E10="TEST",SUM(E87:G87)&lt;=100),SUM(E87:G87),IF(AND(E10="*TEST",F87="",E87&lt;=30,G87&lt;=70),SUM(E87:G87),IF(AND(E10="*TEST",F87&lt;=20,E87&lt;=20,G87&lt;=60),SUM(E87:G87),IF(AND(E10="*TEST",F87="-",E87&lt;=20,G87&lt;=60),SUM(E87:G87),"ERROR"))))))</f>
        <v/>
      </c>
      <c r="I87" s="7" t="str">
        <f>IF(H87="ERROR","ERROR",IF(H87="","",IF(AND(F10="*LAB",F87="-"),"F",IF(H87&gt;69.5,"A",IF(H87&gt;59.5,"B",IF(H87&gt;49.5,"C",IF(AND(D10="*PROGRAM",H87&lt;49.5),"F",IF(H87&gt;44.5,"D",IF(H87&gt;39.5,"E","F")))))))))</f>
        <v/>
      </c>
      <c r="J87" s="7" t="str">
        <f t="shared" si="3"/>
        <v/>
      </c>
      <c r="K87" s="1"/>
    </row>
    <row r="88" ht="15.75" customHeight="1" spans="1:11">
      <c r="A88" s="28">
        <v>59</v>
      </c>
      <c r="B88" s="8" t="s">
        <v>90</v>
      </c>
      <c r="C88" s="9">
        <v>20252565833</v>
      </c>
      <c r="D88" s="7" t="str">
        <f>IF(D11="","",IF(H88="","",D11))</f>
        <v/>
      </c>
      <c r="E88" s="7"/>
      <c r="F88" s="7"/>
      <c r="G88" s="7"/>
      <c r="H88" s="10" t="str">
        <f>IF(AND(E88="",F88="",G88=""),"",IF(SUM(E88:G88)&gt;100,"ERROR",IF(AND(E10="TEST",SUM(E88:G88)&lt;=100),SUM(E88:G88),IF(AND(E10="*TEST",F88="",E88&lt;=30,G88&lt;=70),SUM(E88:G88),IF(AND(E10="*TEST",F88&lt;=20,E88&lt;=20,G88&lt;=60),SUM(E88:G88),IF(AND(E10="*TEST",F88="-",E88&lt;=20,G88&lt;=60),SUM(E88:G88),"ERROR"))))))</f>
        <v/>
      </c>
      <c r="I88" s="7" t="str">
        <f>IF(H88="ERROR","ERROR",IF(H88="","",IF(AND(F10="*LAB",F88="-"),"F",IF(H88&gt;69.5,"A",IF(H88&gt;59.5,"B",IF(H88&gt;49.5,"C",IF(AND(D10="*PROGRAM",H88&lt;49.5),"F",IF(H88&gt;44.5,"D",IF(H88&gt;39.5,"E","F")))))))))</f>
        <v/>
      </c>
      <c r="J88" s="7" t="str">
        <f t="shared" si="3"/>
        <v/>
      </c>
      <c r="K88" s="1"/>
    </row>
    <row r="89" ht="15.75" customHeight="1" spans="1:11">
      <c r="A89" s="28">
        <v>60</v>
      </c>
      <c r="B89" s="8" t="s">
        <v>91</v>
      </c>
      <c r="C89" s="9" t="s">
        <v>92</v>
      </c>
      <c r="D89" s="7" t="str">
        <f>IF(D11="","",IF(H89="","",D11))</f>
        <v/>
      </c>
      <c r="E89" s="7"/>
      <c r="F89" s="7"/>
      <c r="G89" s="7"/>
      <c r="H89" s="10" t="str">
        <f>IF(AND(E89="",F89="",G89=""),"",IF(SUM(E89:G89)&gt;100,"ERROR",IF(AND(E10="TEST",SUM(E89:G89)&lt;=100),SUM(E89:G89),IF(AND(E10="*TEST",F89="",E89&lt;=30,G89&lt;=70),SUM(E89:G89),IF(AND(E10="*TEST",F89&lt;=20,E89&lt;=20,G89&lt;=60),SUM(E89:G89),IF(AND(E10="*TEST",F89="-",E89&lt;=20,G89&lt;=60),SUM(E89:G89),"ERROR"))))))</f>
        <v/>
      </c>
      <c r="I89" s="7" t="str">
        <f>IF(H89="ERROR","ERROR",IF(H89="","",IF(AND(F10="*LAB",F89="-"),"F",IF(H89&gt;69.5,"A",IF(H89&gt;59.5,"B",IF(H89&gt;49.5,"C",IF(AND(D10="*PROGRAM",H89&lt;49.5),"F",IF(H89&gt;44.5,"D",IF(H89&gt;39.5,"E","F")))))))))</f>
        <v/>
      </c>
      <c r="J89" s="7" t="str">
        <f t="shared" si="3"/>
        <v/>
      </c>
      <c r="K89" s="1"/>
    </row>
    <row r="90" ht="15.75" customHeight="1" spans="1:11">
      <c r="A90" s="28">
        <v>61</v>
      </c>
      <c r="B90" s="8" t="s">
        <v>93</v>
      </c>
      <c r="C90" s="9">
        <v>20241471003</v>
      </c>
      <c r="D90" s="7" t="str">
        <f>IF(D11="","",IF(H90="","",D11))</f>
        <v/>
      </c>
      <c r="E90" s="7"/>
      <c r="F90" s="7"/>
      <c r="G90" s="7"/>
      <c r="H90" s="10" t="str">
        <f>IF(AND(E90="",F90="",G90=""),"",IF(SUM(E90:G90)&gt;100,"ERROR",IF(AND(E10="TEST",SUM(E90:G90)&lt;=100),SUM(E90:G90),IF(AND(E10="*TEST",F90="",E90&lt;=30,G90&lt;=70),SUM(E90:G90),IF(AND(E10="*TEST",F90&lt;=20,E90&lt;=20,G90&lt;=60),SUM(E90:G90),IF(AND(E10="*TEST",F90="-",E90&lt;=20,G90&lt;=60),SUM(E90:G90),"ERROR"))))))</f>
        <v/>
      </c>
      <c r="I90" s="7" t="str">
        <f>IF(H90="ERROR","ERROR",IF(H90="","",IF(AND(F10="*LAB",F90="-"),"F",IF(H90&gt;69.5,"A",IF(H90&gt;59.5,"B",IF(H90&gt;49.5,"C",IF(AND(D10="*PROGRAM",H90&lt;49.5),"F",IF(H90&gt;44.5,"D",IF(H90&gt;39.5,"E","F")))))))))</f>
        <v/>
      </c>
      <c r="J90" s="7" t="str">
        <f t="shared" si="3"/>
        <v/>
      </c>
      <c r="K90" s="1"/>
    </row>
    <row r="91" ht="15.75" customHeight="1" spans="1:11">
      <c r="A91" s="28">
        <v>62</v>
      </c>
      <c r="B91" s="8" t="s">
        <v>94</v>
      </c>
      <c r="C91" s="9">
        <v>20241493993</v>
      </c>
      <c r="D91" s="7" t="str">
        <f>IF(D11="","",IF(H91="","",D11))</f>
        <v/>
      </c>
      <c r="E91" s="7"/>
      <c r="F91" s="7"/>
      <c r="G91" s="7"/>
      <c r="H91" s="10" t="str">
        <f>IF(AND(E91="",F91="",G91=""),"",IF(SUM(E91:G91)&gt;100,"ERROR",IF(AND(E10="TEST",SUM(E91:G91)&lt;=100),SUM(E91:G91),IF(AND(E10="*TEST",F91="",E91&lt;=30,G91&lt;=70),SUM(E91:G91),IF(AND(E10="*TEST",F91&lt;=20,E91&lt;=20,G91&lt;=60),SUM(E91:G91),IF(AND(E10="*TEST",F91="-",E91&lt;=20,G91&lt;=60),SUM(E91:G91),"ERROR"))))))</f>
        <v/>
      </c>
      <c r="I91" s="7" t="str">
        <f>IF(H91="ERROR","ERROR",IF(H91="","",IF(AND(F10="*LAB",F91="-"),"F",IF(H91&gt;69.5,"A",IF(H91&gt;59.5,"B",IF(H91&gt;49.5,"C",IF(AND(D10="*PROGRAM",H91&lt;49.5),"F",IF(H91&gt;44.5,"D",IF(H91&gt;39.5,"E","F")))))))))</f>
        <v/>
      </c>
      <c r="J91" s="7" t="str">
        <f t="shared" si="3"/>
        <v/>
      </c>
      <c r="K91" s="1"/>
    </row>
    <row r="92" ht="15.75" customHeight="1" spans="1:11">
      <c r="A92" s="28">
        <v>63</v>
      </c>
      <c r="B92" s="8" t="s">
        <v>95</v>
      </c>
      <c r="C92" s="9">
        <v>20241435603</v>
      </c>
      <c r="D92" s="7" t="str">
        <f>IF(D11="","",IF(H92="","",D11))</f>
        <v/>
      </c>
      <c r="E92" s="7"/>
      <c r="F92" s="7"/>
      <c r="G92" s="7"/>
      <c r="H92" s="10" t="str">
        <f>IF(AND(E92="",F92="",G92=""),"",IF(SUM(E92:G92)&gt;100,"ERROR",IF(AND(E10="TEST",SUM(E92:G92)&lt;=100),SUM(E92:G92),IF(AND(E10="*TEST",F92="",E92&lt;=30,G92&lt;=70),SUM(E92:G92),IF(AND(E10="*TEST",F92&lt;=20,E92&lt;=20,G92&lt;=60),SUM(E92:G92),IF(AND(E10="*TEST",F92="-",E92&lt;=20,G92&lt;=60),SUM(E92:G92),"ERROR"))))))</f>
        <v/>
      </c>
      <c r="I92" s="7" t="str">
        <f>IF(H92="ERROR","ERROR",IF(H92="","",IF(AND(F10="*LAB",F92="-"),"F",IF(H92&gt;69.5,"A",IF(H92&gt;59.5,"B",IF(H92&gt;49.5,"C",IF(AND(D10="*PROGRAM",H92&lt;49.5),"F",IF(H92&gt;44.5,"D",IF(H92&gt;39.5,"E","F")))))))))</f>
        <v/>
      </c>
      <c r="J92" s="7" t="str">
        <f t="shared" si="3"/>
        <v/>
      </c>
      <c r="K92" s="1"/>
    </row>
    <row r="93" ht="15.75" customHeight="1" spans="1:11">
      <c r="A93" s="28">
        <v>64</v>
      </c>
      <c r="B93" s="8" t="s">
        <v>96</v>
      </c>
      <c r="C93" s="9">
        <v>20241440453</v>
      </c>
      <c r="D93" s="7" t="str">
        <f>IF(D11="","",IF(H93="","",D11))</f>
        <v/>
      </c>
      <c r="E93" s="7"/>
      <c r="F93" s="7"/>
      <c r="G93" s="7"/>
      <c r="H93" s="10" t="str">
        <f>IF(AND(E93="",F93="",G93=""),"",IF(SUM(E93:G93)&gt;100,"ERROR",IF(AND(E10="TEST",SUM(E93:G93)&lt;=100),SUM(E93:G93),IF(AND(E10="*TEST",F93="",E93&lt;=30,G93&lt;=70),SUM(E93:G93),IF(AND(E10="*TEST",F93&lt;=20,E93&lt;=20,G93&lt;=60),SUM(E93:G93),IF(AND(E10="*TEST",F93="-",E93&lt;=20,G93&lt;=60),SUM(E93:G93),"ERROR"))))))</f>
        <v/>
      </c>
      <c r="I93" s="7" t="str">
        <f>IF(H93="ERROR","ERROR",IF(H93="","",IF(AND(F10="*LAB",F93="-"),"F",IF(H93&gt;69.5,"A",IF(H93&gt;59.5,"B",IF(H93&gt;49.5,"C",IF(AND(D10="*PROGRAM",H93&lt;49.5),"F",IF(H93&gt;44.5,"D",IF(H93&gt;39.5,"E","F")))))))))</f>
        <v/>
      </c>
      <c r="J93" s="7" t="str">
        <f t="shared" si="3"/>
        <v/>
      </c>
      <c r="K93" s="1"/>
    </row>
    <row r="94" ht="15.75" customHeight="1" spans="1:11">
      <c r="A94" s="28">
        <v>65</v>
      </c>
      <c r="B94" s="8" t="s">
        <v>97</v>
      </c>
      <c r="C94" s="9">
        <v>20241443303</v>
      </c>
      <c r="D94" s="7" t="str">
        <f>IF(D11="","",IF(H94="","",D11))</f>
        <v/>
      </c>
      <c r="E94" s="7"/>
      <c r="F94" s="7"/>
      <c r="G94" s="7"/>
      <c r="H94" s="10" t="str">
        <f>IF(AND(E94="",F94="",G94=""),"",IF(SUM(E94:G94)&gt;100,"ERROR",IF(AND(E10="TEST",SUM(E94:G94)&lt;=100),SUM(E94:G94),IF(AND(E10="*TEST",F94="",E94&lt;=30,G94&lt;=70),SUM(E94:G94),IF(AND(E10="*TEST",F94&lt;=20,E94&lt;=20,G94&lt;=60),SUM(E94:G94),IF(AND(E10="*TEST",F94="-",E94&lt;=20,G94&lt;=60),SUM(E94:G94),"ERROR"))))))</f>
        <v/>
      </c>
      <c r="I94" s="7" t="str">
        <f>IF(H94="ERROR","ERROR",IF(H94="","",IF(AND(F10="*LAB",F94="-"),"F",IF(H94&gt;69.5,"A",IF(H94&gt;59.5,"B",IF(H94&gt;49.5,"C",IF(AND(D10="*PROGRAM",H94&lt;49.5),"F",IF(H94&gt;44.5,"D",IF(H94&gt;39.5,"E","F")))))))))</f>
        <v/>
      </c>
      <c r="J94" s="7" t="str">
        <f t="shared" si="3"/>
        <v/>
      </c>
      <c r="K94" s="1"/>
    </row>
    <row r="95" ht="15.75" customHeight="1" spans="1:11">
      <c r="A95" s="28">
        <v>66</v>
      </c>
      <c r="B95" s="8" t="s">
        <v>98</v>
      </c>
      <c r="C95" s="9">
        <v>20241442863</v>
      </c>
      <c r="D95" s="7" t="str">
        <f>IF(D11="","",IF(H95="","",D11))</f>
        <v/>
      </c>
      <c r="E95" s="7"/>
      <c r="F95" s="7"/>
      <c r="G95" s="7"/>
      <c r="H95" s="10" t="str">
        <f>IF(AND(E95="",F95="",G95=""),"",IF(SUM(E95:G95)&gt;100,"ERROR",IF(AND(E10="TEST",SUM(E95:G95)&lt;=100),SUM(E95:G95),IF(AND(E10="*TEST",F95="",E95&lt;=30,G95&lt;=70),SUM(E95:G95),IF(AND(E10="*TEST",F95&lt;=20,E95&lt;=20,G95&lt;=60),SUM(E95:G95),IF(AND(E10="*TEST",F95="-",E95&lt;=20,G95&lt;=60),SUM(E95:G95),"ERROR"))))))</f>
        <v/>
      </c>
      <c r="I95" s="7" t="str">
        <f>IF(H95="ERROR","ERROR",IF(H95="","",IF(AND(F10="*LAB",F95="-"),"F",IF(H95&gt;69.5,"A",IF(H95&gt;59.5,"B",IF(H95&gt;49.5,"C",IF(AND(D10="*PROGRAM",H95&lt;49.5),"F",IF(H95&gt;44.5,"D",IF(H95&gt;39.5,"E","F")))))))))</f>
        <v/>
      </c>
      <c r="J95" s="7" t="str">
        <f t="shared" si="3"/>
        <v/>
      </c>
      <c r="K95" s="1"/>
    </row>
    <row r="96" ht="15.75" customHeight="1" spans="1:11">
      <c r="A96" s="28">
        <v>67</v>
      </c>
      <c r="B96" s="8" t="s">
        <v>99</v>
      </c>
      <c r="C96" s="9">
        <v>20252543083</v>
      </c>
      <c r="D96" s="7" t="str">
        <f>IF(D11="","",IF(H96="","",D11))</f>
        <v/>
      </c>
      <c r="E96" s="7"/>
      <c r="F96" s="7"/>
      <c r="G96" s="7"/>
      <c r="H96" s="10" t="str">
        <f>IF(AND(E96="",F96="",G96=""),"",IF(SUM(E96:G96)&gt;100,"ERROR",IF(AND(E10="TEST",SUM(E96:G96)&lt;=100),SUM(E96:G96),IF(AND(E10="*TEST",F96="",E96&lt;=30,G96&lt;=70),SUM(E96:G96),IF(AND(E10="*TEST",F96&lt;=20,E96&lt;=20,G96&lt;=60),SUM(E96:G96),IF(AND(E10="*TEST",F96="-",E96&lt;=20,G96&lt;=60),SUM(E96:G96),"ERROR"))))))</f>
        <v/>
      </c>
      <c r="I96" s="7" t="str">
        <f>IF(H96="ERROR","ERROR",IF(H96="","",IF(AND(F10="*LAB",F96="-"),"F",IF(H96&gt;69.5,"A",IF(H96&gt;59.5,"B",IF(H96&gt;49.5,"C",IF(AND(D10="*PROGRAM",H96&lt;49.5),"F",IF(H96&gt;44.5,"D",IF(H96&gt;39.5,"E","F")))))))))</f>
        <v/>
      </c>
      <c r="J96" s="7" t="str">
        <f t="shared" si="3"/>
        <v/>
      </c>
      <c r="K96" s="1"/>
    </row>
    <row r="97" ht="15.75" customHeight="1" spans="1:11">
      <c r="A97" s="28">
        <v>68</v>
      </c>
      <c r="B97" s="8" t="s">
        <v>100</v>
      </c>
      <c r="C97" s="9">
        <v>20241450483</v>
      </c>
      <c r="D97" s="7" t="str">
        <f>IF(D11="","",IF(H97="","",D11))</f>
        <v/>
      </c>
      <c r="E97" s="7"/>
      <c r="F97" s="7"/>
      <c r="G97" s="7"/>
      <c r="H97" s="10" t="str">
        <f>IF(AND(E97="",F97="",G97=""),"",IF(SUM(E97:G97)&gt;100,"ERROR",IF(AND(E10="TEST",SUM(E97:G97)&lt;=100),SUM(E97:G97),IF(AND(E10="*TEST",F97="",E97&lt;=30,G97&lt;=70),SUM(E97:G97),IF(AND(E10="*TEST",F97&lt;=20,E97&lt;=20,G97&lt;=60),SUM(E97:G97),IF(AND(E10="*TEST",F97="-",E97&lt;=20,G97&lt;=60),SUM(E97:G97),"ERROR"))))))</f>
        <v/>
      </c>
      <c r="I97" s="7" t="str">
        <f>IF(H97="ERROR","ERROR",IF(H97="","",IF(AND(F10="*LAB",F97="-"),"F",IF(H97&gt;69.5,"A",IF(H97&gt;59.5,"B",IF(H97&gt;49.5,"C",IF(AND(D10="*PROGRAM",H97&lt;49.5),"F",IF(H97&gt;44.5,"D",IF(H97&gt;39.5,"E","F")))))))))</f>
        <v/>
      </c>
      <c r="J97" s="7" t="str">
        <f t="shared" si="3"/>
        <v/>
      </c>
      <c r="K97" s="1"/>
    </row>
    <row r="98" ht="15.75" customHeight="1" spans="1:11">
      <c r="A98" s="28">
        <v>69</v>
      </c>
      <c r="B98" s="8" t="s">
        <v>101</v>
      </c>
      <c r="C98" s="9">
        <v>20241424663</v>
      </c>
      <c r="D98" s="7" t="str">
        <f>IF(D11="","",IF(H98="","",D11))</f>
        <v/>
      </c>
      <c r="E98" s="7"/>
      <c r="F98" s="7"/>
      <c r="G98" s="7"/>
      <c r="H98" s="10" t="str">
        <f>IF(AND(E98="",F98="",G98=""),"",IF(SUM(E98:G98)&gt;100,"ERROR",IF(AND(E10="TEST",SUM(E98:G98)&lt;=100),SUM(E98:G98),IF(AND(E10="*TEST",F98="",E98&lt;=30,G98&lt;=70),SUM(E98:G98),IF(AND(E10="*TEST",F98&lt;=20,E98&lt;=20,G98&lt;=60),SUM(E98:G98),IF(AND(E10="*TEST",F98="-",E98&lt;=20,G98&lt;=60),SUM(E98:G98),"ERROR"))))))</f>
        <v/>
      </c>
      <c r="I98" s="7" t="str">
        <f>IF(H98="ERROR","ERROR",IF(H98="","",IF(AND(F10="*LAB",F98="-"),"F",IF(H98&gt;69.5,"A",IF(H98&gt;59.5,"B",IF(H98&gt;49.5,"C",IF(AND(D10="*PROGRAM",H98&lt;49.5),"F",IF(H98&gt;44.5,"D",IF(H98&gt;39.5,"E","F")))))))))</f>
        <v/>
      </c>
      <c r="J98" s="7" t="str">
        <f t="shared" si="3"/>
        <v/>
      </c>
      <c r="K98" s="1"/>
    </row>
    <row r="99" ht="15.75" customHeight="1" spans="1:11">
      <c r="A99" s="28">
        <v>70</v>
      </c>
      <c r="B99" s="8" t="s">
        <v>102</v>
      </c>
      <c r="C99" s="9">
        <v>20241436423</v>
      </c>
      <c r="D99" s="7" t="str">
        <f>IF(D11="","",IF(H99="","",D11))</f>
        <v/>
      </c>
      <c r="E99" s="7"/>
      <c r="F99" s="7"/>
      <c r="G99" s="7"/>
      <c r="H99" s="10" t="str">
        <f>IF(AND(E99="",F99="",G99=""),"",IF(SUM(E99:G99)&gt;100,"ERROR",IF(AND(E10="TEST",SUM(E99:G99)&lt;=100),SUM(E99:G99),IF(AND(E10="*TEST",F99="",E99&lt;=30,G99&lt;=70),SUM(E99:G99),IF(AND(E10="*TEST",F99&lt;=20,E99&lt;=20,G99&lt;=60),SUM(E99:G99),IF(AND(E10="*TEST",F99="-",E99&lt;=20,G99&lt;=60),SUM(E99:G99),"ERROR"))))))</f>
        <v/>
      </c>
      <c r="I99" s="7" t="str">
        <f>IF(H99="ERROR","ERROR",IF(H99="","",IF(AND(F10="*LAB",F99="-"),"F",IF(H99&gt;69.5,"A",IF(H99&gt;59.5,"B",IF(H99&gt;49.5,"C",IF(AND(D10="*PROGRAM",H99&lt;49.5),"F",IF(H99&gt;44.5,"D",IF(H99&gt;39.5,"E","F")))))))))</f>
        <v/>
      </c>
      <c r="J99" s="7" t="str">
        <f t="shared" si="3"/>
        <v/>
      </c>
      <c r="K99" s="1"/>
    </row>
    <row r="100" ht="15.75" customHeight="1" spans="1:11">
      <c r="A100" s="28">
        <v>71</v>
      </c>
      <c r="B100" s="8" t="s">
        <v>103</v>
      </c>
      <c r="C100" s="9">
        <v>20241455003</v>
      </c>
      <c r="D100" s="7" t="str">
        <f>IF(D11="","",IF(H100="","",D11))</f>
        <v/>
      </c>
      <c r="E100" s="7"/>
      <c r="F100" s="7"/>
      <c r="G100" s="7"/>
      <c r="H100" s="10" t="str">
        <f>IF(AND(E100="",F100="",G100=""),"",IF(SUM(E100:G100)&gt;100,"ERROR",IF(AND(E10="TEST",SUM(E100:G100)&lt;=100),SUM(E100:G100),IF(AND(E10="*TEST",F100="",E100&lt;=30,G100&lt;=70),SUM(E100:G100),IF(AND(E10="*TEST",F100&lt;=20,E100&lt;=20,G100&lt;=60),SUM(E100:G100),IF(AND(E10="*TEST",F100="-",E100&lt;=20,G100&lt;=60),SUM(E100:G100),"ERROR"))))))</f>
        <v/>
      </c>
      <c r="I100" s="7" t="str">
        <f>IF(H100="ERROR","ERROR",IF(H100="","",IF(AND(F10="*LAB",F100="-"),"F",IF(H100&gt;69.5,"A",IF(H100&gt;59.5,"B",IF(H100&gt;49.5,"C",IF(AND(D10="*PROGRAM",H100&lt;49.5),"F",IF(H100&gt;44.5,"D",IF(H100&gt;39.5,"E","F")))))))))</f>
        <v/>
      </c>
      <c r="J100" s="7" t="str">
        <f t="shared" si="3"/>
        <v/>
      </c>
      <c r="K100" s="1"/>
    </row>
    <row r="101" ht="15.75" customHeight="1" spans="1:11">
      <c r="A101" s="28">
        <v>72</v>
      </c>
      <c r="B101" s="8" t="s">
        <v>104</v>
      </c>
      <c r="C101" s="9">
        <v>20241425223</v>
      </c>
      <c r="D101" s="7" t="str">
        <f>IF(D11="","",IF(H101="","",D11))</f>
        <v/>
      </c>
      <c r="E101" s="7"/>
      <c r="F101" s="7"/>
      <c r="G101" s="7"/>
      <c r="H101" s="10" t="str">
        <f>IF(AND(E101="",F101="",G101=""),"",IF(SUM(E101:G101)&gt;100,"ERROR",IF(AND(E10="TEST",SUM(E101:G101)&lt;=100),SUM(E101:G101),IF(AND(E10="*TEST",F101="",E101&lt;=30,G101&lt;=70),SUM(E101:G101),IF(AND(E10="*TEST",F101&lt;=20,E101&lt;=20,G101&lt;=60),SUM(E101:G101),IF(AND(E10="*TEST",F101="-",E101&lt;=20,G101&lt;=60),SUM(E101:G101),"ERROR"))))))</f>
        <v/>
      </c>
      <c r="I101" s="7" t="str">
        <f>IF(H101="ERROR","ERROR",IF(H101="","",IF(AND(F10="*LAB",F101="-"),"F",IF(H101&gt;69.5,"A",IF(H101&gt;59.5,"B",IF(H101&gt;49.5,"C",IF(AND(D10="*PROGRAM",H101&lt;49.5),"F",IF(H101&gt;44.5,"D",IF(H101&gt;39.5,"E","F")))))))))</f>
        <v/>
      </c>
      <c r="J101" s="7" t="str">
        <f t="shared" si="3"/>
        <v/>
      </c>
      <c r="K101" s="1"/>
    </row>
    <row r="102" ht="15.75" customHeight="1" spans="1:11">
      <c r="A102" s="28">
        <v>73</v>
      </c>
      <c r="B102" s="8" t="s">
        <v>105</v>
      </c>
      <c r="C102" s="9">
        <v>20241424713</v>
      </c>
      <c r="D102" s="7" t="str">
        <f>IF(D11="","",IF(H102="","",D11))</f>
        <v/>
      </c>
      <c r="E102" s="7"/>
      <c r="F102" s="7"/>
      <c r="G102" s="7"/>
      <c r="H102" s="10" t="str">
        <f>IF(AND(E102="",F102="",G102=""),"",IF(SUM(E102:G102)&gt;100,"ERROR",IF(AND(E10="TEST",SUM(E102:G102)&lt;=100),SUM(E102:G102),IF(AND(E10="*TEST",F102="",E102&lt;=30,G102&lt;=70),SUM(E102:G102),IF(AND(E10="*TEST",F102&lt;=20,E102&lt;=20,G102&lt;=60),SUM(E102:G102),IF(AND(E10="*TEST",F102="-",E102&lt;=20,G102&lt;=60),SUM(E102:G102),"ERROR"))))))</f>
        <v/>
      </c>
      <c r="I102" s="7" t="str">
        <f>IF(H102="ERROR","ERROR",IF(H102="","",IF(AND(F10="*LAB",F102="-"),"F",IF(H102&gt;69.5,"A",IF(H102&gt;59.5,"B",IF(H102&gt;49.5,"C",IF(AND(D10="*PROGRAM",H102&lt;49.5),"F",IF(H102&gt;44.5,"D",IF(H102&gt;39.5,"E","F")))))))))</f>
        <v/>
      </c>
      <c r="J102" s="7" t="str">
        <f t="shared" si="3"/>
        <v/>
      </c>
      <c r="K102" s="1"/>
    </row>
    <row r="103" ht="15.75" customHeight="1" spans="1:11">
      <c r="A103" s="28">
        <v>74</v>
      </c>
      <c r="B103" s="8" t="s">
        <v>106</v>
      </c>
      <c r="C103" s="9">
        <v>20241449763</v>
      </c>
      <c r="D103" s="7" t="str">
        <f>IF(D11="","",IF(H103="","",D11))</f>
        <v/>
      </c>
      <c r="E103" s="7"/>
      <c r="F103" s="7"/>
      <c r="G103" s="7"/>
      <c r="H103" s="10" t="str">
        <f>IF(AND(E103="",F103="",G103=""),"",IF(SUM(E103:G103)&gt;100,"ERROR",IF(AND(E10="TEST",SUM(E103:G103)&lt;=100),SUM(E103:G103),IF(AND(E10="*TEST",F103="",E103&lt;=30,G103&lt;=70),SUM(E103:G103),IF(AND(E10="*TEST",F103&lt;=20,E103&lt;=20,G103&lt;=60),SUM(E103:G103),IF(AND(E10="*TEST",F103="-",E103&lt;=20,G103&lt;=60),SUM(E103:G103),"ERROR"))))))</f>
        <v/>
      </c>
      <c r="I103" s="7" t="str">
        <f>IF(H103="ERROR","ERROR",IF(H103="","",IF(AND(F10="*LAB",F103="-"),"F",IF(H103&gt;69.5,"A",IF(H103&gt;59.5,"B",IF(H103&gt;49.5,"C",IF(AND(D10="*PROGRAM",H103&lt;49.5),"F",IF(H103&gt;44.5,"D",IF(H103&gt;39.5,"E","F")))))))))</f>
        <v/>
      </c>
      <c r="J103" s="7" t="str">
        <f t="shared" si="3"/>
        <v/>
      </c>
      <c r="K103" s="1"/>
    </row>
    <row r="104" ht="15.75" customHeight="1" spans="1:11">
      <c r="A104" s="28">
        <v>75</v>
      </c>
      <c r="B104" s="8" t="s">
        <v>107</v>
      </c>
      <c r="C104" s="9">
        <v>20241449663</v>
      </c>
      <c r="D104" s="7" t="str">
        <f>IF(D11="","",IF(H104="","",D11))</f>
        <v/>
      </c>
      <c r="E104" s="7"/>
      <c r="F104" s="7"/>
      <c r="G104" s="7"/>
      <c r="H104" s="10" t="str">
        <f>IF(AND(E104="",F104="",G104=""),"",IF(SUM(E104:G104)&gt;100,"ERROR",IF(AND(E10="TEST",SUM(E104:G104)&lt;=100),SUM(E104:G104),IF(AND(E10="*TEST",F104="",E104&lt;=30,G104&lt;=70),SUM(E104:G104),IF(AND(E10="*TEST",F104&lt;=20,E104&lt;=20,G104&lt;=60),SUM(E104:G104),IF(AND(E10="*TEST",F104="-",E104&lt;=20,G104&lt;=60),SUM(E104:G104),"ERROR"))))))</f>
        <v/>
      </c>
      <c r="I104" s="7" t="str">
        <f>IF(H104="ERROR","ERROR",IF(H104="","",IF(AND(F10="*LAB",F104="-"),"F",IF(H104&gt;69.5,"A",IF(H104&gt;59.5,"B",IF(H104&gt;49.5,"C",IF(AND(D10="*PROGRAM",H104&lt;49.5),"F",IF(H104&gt;44.5,"D",IF(H104&gt;39.5,"E","F")))))))))</f>
        <v/>
      </c>
      <c r="J104" s="7" t="str">
        <f t="shared" si="3"/>
        <v/>
      </c>
      <c r="K104" s="1"/>
    </row>
    <row r="105" ht="15.75" customHeight="1" spans="1:11">
      <c r="A105" s="28">
        <v>76</v>
      </c>
      <c r="B105" s="8" t="s">
        <v>108</v>
      </c>
      <c r="C105" s="9">
        <v>20241443313</v>
      </c>
      <c r="D105" s="7" t="str">
        <f>IF(D11="","",IF(H105="","",D11))</f>
        <v/>
      </c>
      <c r="E105" s="7"/>
      <c r="F105" s="7"/>
      <c r="G105" s="7"/>
      <c r="H105" s="10" t="str">
        <f>IF(AND(E105="",F105="",G105=""),"",IF(SUM(E105:G105)&gt;100,"ERROR",IF(AND(E10="TEST",SUM(E105:G105)&lt;=100),SUM(E105:G105),IF(AND(E10="*TEST",F105="",E105&lt;=30,G105&lt;=70),SUM(E105:G105),IF(AND(E10="*TEST",F105&lt;=20,E105&lt;=20,G105&lt;=60),SUM(E105:G105),IF(AND(E10="*TEST",F105="-",E105&lt;=20,G105&lt;=60),SUM(E105:G105),"ERROR"))))))</f>
        <v/>
      </c>
      <c r="I105" s="7" t="str">
        <f>IF(H105="ERROR","ERROR",IF(H105="","",IF(AND(F10="*LAB",F105="-"),"F",IF(H105&gt;69.5,"A",IF(H105&gt;59.5,"B",IF(H105&gt;49.5,"C",IF(AND(D10="*PROGRAM",H105&lt;49.5),"F",IF(H105&gt;44.5,"D",IF(H105&gt;39.5,"E","F")))))))))</f>
        <v/>
      </c>
      <c r="J105" s="7" t="str">
        <f t="shared" si="3"/>
        <v/>
      </c>
      <c r="K105" s="1"/>
    </row>
    <row r="106" ht="15.75" customHeight="1" spans="1:11">
      <c r="A106" s="28">
        <v>77</v>
      </c>
      <c r="B106" s="8" t="s">
        <v>109</v>
      </c>
      <c r="C106" s="9">
        <v>20241439683</v>
      </c>
      <c r="D106" s="7" t="str">
        <f>IF(D11="","",IF(H106="","",D11))</f>
        <v/>
      </c>
      <c r="E106" s="7"/>
      <c r="F106" s="7"/>
      <c r="G106" s="7"/>
      <c r="H106" s="10" t="str">
        <f>IF(AND(E106="",F106="",G106=""),"",IF(SUM(E106:G106)&gt;100,"ERROR",IF(AND(E10="TEST",SUM(E106:G106)&lt;=100),SUM(E106:G106),IF(AND(E10="*TEST",F106="",E106&lt;=30,G106&lt;=70),SUM(E106:G106),IF(AND(E10="*TEST",F106&lt;=20,E106&lt;=20,G106&lt;=60),SUM(E106:G106),IF(AND(E10="*TEST",F106="-",E106&lt;=20,G106&lt;=60),SUM(E106:G106),"ERROR"))))))</f>
        <v/>
      </c>
      <c r="I106" s="7" t="str">
        <f>IF(H106="ERROR","ERROR",IF(H106="","",IF(AND(F10="*LAB",F106="-"),"F",IF(H106&gt;69.5,"A",IF(H106&gt;59.5,"B",IF(H106&gt;49.5,"C",IF(AND(D10="*PROGRAM",H106&lt;49.5),"F",IF(H106&gt;44.5,"D",IF(H106&gt;39.5,"E","F")))))))))</f>
        <v/>
      </c>
      <c r="J106" s="7" t="str">
        <f t="shared" si="3"/>
        <v/>
      </c>
      <c r="K106" s="1"/>
    </row>
    <row r="107" ht="15.75" customHeight="1" spans="1:11">
      <c r="A107" s="28">
        <v>78</v>
      </c>
      <c r="B107" s="8" t="s">
        <v>110</v>
      </c>
      <c r="C107" s="9">
        <v>20241435073</v>
      </c>
      <c r="D107" s="7" t="str">
        <f>IF(D11="","",IF(H107="","",D11))</f>
        <v/>
      </c>
      <c r="E107" s="7"/>
      <c r="F107" s="7"/>
      <c r="G107" s="7"/>
      <c r="H107" s="10" t="str">
        <f>IF(AND(E107="",F107="",G107=""),"",IF(SUM(E107:G107)&gt;100,"ERROR",IF(AND(E10="TEST",SUM(E107:G107)&lt;=100),SUM(E107:G107),IF(AND(E10="*TEST",F107="",E107&lt;=30,G107&lt;=70),SUM(E107:G107),IF(AND(E10="*TEST",F107&lt;=20,E107&lt;=20,G107&lt;=60),SUM(E107:G107),IF(AND(E10="*TEST",F107="-",E107&lt;=20,G107&lt;=60),SUM(E107:G107),"ERROR"))))))</f>
        <v/>
      </c>
      <c r="I107" s="7" t="str">
        <f>IF(H107="ERROR","ERROR",IF(H107="","",IF(AND(F10="*LAB",F107="-"),"F",IF(H107&gt;69.5,"A",IF(H107&gt;59.5,"B",IF(H107&gt;49.5,"C",IF(AND(D10="*PROGRAM",H107&lt;49.5),"F",IF(H107&gt;44.5,"D",IF(H107&gt;39.5,"E","F")))))))))</f>
        <v/>
      </c>
      <c r="J107" s="7" t="str">
        <f t="shared" si="3"/>
        <v/>
      </c>
      <c r="K107" s="1"/>
    </row>
    <row r="108" ht="24.75" customHeight="1" spans="1:11">
      <c r="A108" s="1"/>
      <c r="B108" s="29" t="s">
        <v>111</v>
      </c>
      <c r="C108"/>
      <c r="D108" s="1"/>
      <c r="E108" s="1"/>
      <c r="F108" s="1"/>
      <c r="G108" s="13"/>
      <c r="H108" s="14"/>
      <c r="I108" s="14"/>
      <c r="J108" s="14"/>
      <c r="K108" s="1"/>
    </row>
    <row r="109" ht="15.75" customHeight="1" spans="1:11">
      <c r="A109" s="1"/>
      <c r="B109" s="15" t="s">
        <v>60</v>
      </c>
      <c r="C109" s="13"/>
      <c r="D109" s="13"/>
      <c r="E109" s="13"/>
      <c r="F109" s="13"/>
      <c r="G109" s="16" t="s">
        <v>61</v>
      </c>
      <c r="H109" s="17"/>
      <c r="I109" s="17"/>
      <c r="J109" s="17"/>
      <c r="K109" s="1"/>
    </row>
    <row r="110" ht="15.75" customHeight="1" spans="1:11">
      <c r="A110" s="1" t="str">
        <f>IF(AND(I127="",I70&lt;&gt;""),A889,"")</f>
        <v/>
      </c>
      <c r="B110" s="2" t="str">
        <f>IF(A110="","",B889)</f>
        <v/>
      </c>
      <c r="C110" s="16" t="s">
        <v>62</v>
      </c>
      <c r="D110" s="17"/>
      <c r="E110" s="17"/>
      <c r="F110" s="17"/>
      <c r="G110" s="1"/>
      <c r="H110" s="1"/>
      <c r="I110" s="1"/>
      <c r="J110" s="1"/>
      <c r="K110" s="1"/>
    </row>
    <row r="111" ht="15.75" customHeight="1" spans="1:11">
      <c r="A111" s="1" t="str">
        <f>IF(A110="","",A890)</f>
        <v/>
      </c>
      <c r="B111" s="2" t="str">
        <f>IF(A110="","",B890)</f>
        <v/>
      </c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 spans="1:11">
      <c r="A112" s="1" t="str">
        <f>IF(A110="","",A891)</f>
        <v/>
      </c>
      <c r="B112" s="2" t="str">
        <f>IF(A110="","",B891)</f>
        <v/>
      </c>
      <c r="C112" s="18" t="s">
        <v>63</v>
      </c>
      <c r="D112" s="17"/>
      <c r="E112" s="17"/>
      <c r="F112" s="17"/>
      <c r="G112" s="17"/>
      <c r="H112" s="17"/>
      <c r="I112" s="17"/>
      <c r="J112" s="24"/>
      <c r="K112" s="1"/>
    </row>
    <row r="113" ht="15.75" customHeight="1" spans="1:11">
      <c r="A113" s="1" t="str">
        <f>IF(A110="","",A892)</f>
        <v/>
      </c>
      <c r="B113" s="2" t="str">
        <f>IF(A110="","",B892)</f>
        <v/>
      </c>
      <c r="C113" s="19" t="s">
        <v>64</v>
      </c>
      <c r="F113" s="15"/>
      <c r="G113" s="15" t="s">
        <v>65</v>
      </c>
      <c r="J113" s="25"/>
      <c r="K113" s="1"/>
    </row>
    <row r="114" ht="15.75" customHeight="1" spans="1:11">
      <c r="A114" s="1" t="str">
        <f>IF(A110="","",A893)</f>
        <v/>
      </c>
      <c r="B114" s="2" t="str">
        <f>IF(A110="","",B893)</f>
        <v/>
      </c>
      <c r="C114" s="19" t="s">
        <v>66</v>
      </c>
      <c r="F114" s="15"/>
      <c r="G114" s="15" t="s">
        <v>67</v>
      </c>
      <c r="J114" s="25"/>
      <c r="K114" s="1"/>
    </row>
    <row r="115" ht="15.75" customHeight="1" spans="1:11">
      <c r="A115" s="1" t="str">
        <f>IF(A110="","",A894)</f>
        <v/>
      </c>
      <c r="B115" s="2" t="str">
        <f>IF(A110="","",B894)</f>
        <v/>
      </c>
      <c r="C115" s="20" t="s">
        <v>68</v>
      </c>
      <c r="D115" s="14"/>
      <c r="E115" s="14"/>
      <c r="F115" s="21"/>
      <c r="G115" s="21" t="s">
        <v>69</v>
      </c>
      <c r="H115" s="14"/>
      <c r="I115" s="14"/>
      <c r="J115" s="26"/>
      <c r="K115" s="1"/>
    </row>
    <row r="116" ht="15.75" customHeight="1" spans="1:11">
      <c r="A116" s="1" t="str">
        <f>IF(A110="","",A895)</f>
        <v/>
      </c>
      <c r="B116" s="22" t="str">
        <f>IF(A110="","",B895)</f>
        <v/>
      </c>
      <c r="C116" s="1"/>
      <c r="D116" s="1"/>
      <c r="E116" s="1"/>
      <c r="F116" s="1"/>
      <c r="G116" s="1"/>
      <c r="H116" s="1"/>
      <c r="I116" s="1"/>
      <c r="J116" s="27" t="s">
        <v>112</v>
      </c>
      <c r="K116" s="1"/>
    </row>
    <row r="117" ht="15.75" customHeight="1" spans="1:11">
      <c r="A117" s="23"/>
      <c r="B117" s="23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 spans="1:11">
      <c r="A118" s="1"/>
      <c r="B118" s="3" t="s">
        <v>0</v>
      </c>
      <c r="K118" s="1"/>
    </row>
    <row r="119" ht="15.75" customHeight="1" spans="1:11">
      <c r="A119" s="1"/>
      <c r="B119" s="4" t="s">
        <v>1</v>
      </c>
      <c r="K119" s="1"/>
    </row>
    <row r="120" ht="15.75" customHeight="1" spans="1:1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 spans="1:11">
      <c r="A121" s="2" t="str">
        <f t="shared" ref="A121:A124" si="4">A5</f>
        <v>School of Student: SEET</v>
      </c>
      <c r="D121" s="1"/>
      <c r="E121" s="5"/>
      <c r="K121" s="1"/>
    </row>
    <row r="122" ht="15.75" customHeight="1" spans="1:11">
      <c r="A122" s="2" t="str">
        <f t="shared" si="4"/>
        <v>Department: BIOMEDICAL ENGINEERING</v>
      </c>
      <c r="D122" s="1"/>
      <c r="E122" s="5" t="str">
        <f t="shared" ref="E121:E124" si="5">E6</f>
        <v>Session: ---------------------------------</v>
      </c>
      <c r="K122" s="1"/>
    </row>
    <row r="123" ht="15.75" customHeight="1" spans="1:11">
      <c r="A123" s="2" t="str">
        <f t="shared" si="4"/>
        <v>Title of Course: ------------------------</v>
      </c>
      <c r="D123" s="1"/>
      <c r="E123" s="5" t="str">
        <f t="shared" si="5"/>
        <v>Course Code: -------------------------</v>
      </c>
      <c r="K123" s="1"/>
    </row>
    <row r="124" ht="15.75" customHeight="1" spans="1:11">
      <c r="A124" s="2" t="str">
        <f t="shared" si="4"/>
        <v>School Offering Course: ----------------------------</v>
      </c>
      <c r="D124" s="1"/>
      <c r="E124" s="5" t="str">
        <f t="shared" si="5"/>
        <v>Date: -----------------------------</v>
      </c>
      <c r="K124" s="1"/>
    </row>
    <row r="125" ht="15.75" customHeight="1" spans="1:11">
      <c r="A125" s="1"/>
      <c r="B125" s="2"/>
      <c r="C125" s="1"/>
      <c r="D125" s="5"/>
      <c r="E125" s="5"/>
      <c r="F125" s="5"/>
      <c r="G125" s="5"/>
      <c r="H125" s="5"/>
      <c r="I125" s="5"/>
      <c r="J125" s="5"/>
      <c r="K125" s="1"/>
    </row>
    <row r="126" ht="15.75" customHeight="1" spans="1:11">
      <c r="A126" s="6" t="s">
        <v>9</v>
      </c>
      <c r="B126" s="6" t="s">
        <v>10</v>
      </c>
      <c r="C126" s="6" t="s">
        <v>11</v>
      </c>
      <c r="D126" s="6" t="s">
        <v>12</v>
      </c>
      <c r="E126" s="6" t="s">
        <v>13</v>
      </c>
      <c r="F126" s="6" t="s">
        <v>14</v>
      </c>
      <c r="G126" s="6" t="s">
        <v>15</v>
      </c>
      <c r="H126" s="6" t="s">
        <v>16</v>
      </c>
      <c r="I126" s="6" t="s">
        <v>17</v>
      </c>
      <c r="J126" s="6" t="s">
        <v>18</v>
      </c>
      <c r="K126" s="1"/>
    </row>
    <row r="127" ht="15.75" customHeight="1" spans="1:11">
      <c r="A127" s="28">
        <v>79</v>
      </c>
      <c r="B127" s="8" t="s">
        <v>113</v>
      </c>
      <c r="C127" s="9">
        <v>20241495973</v>
      </c>
      <c r="D127" s="7" t="str">
        <f>IF(D11="","",IF(H127="","",D11))</f>
        <v/>
      </c>
      <c r="E127" s="28"/>
      <c r="F127" s="28"/>
      <c r="G127" s="28"/>
      <c r="H127" s="10" t="str">
        <f>IF(AND(E127="",F127="",G127=""),"",IF(SUM(E127:G127)&gt;100,"ERROR",IF(AND(E10="TEST",SUM(E127:G127)&lt;=100),SUM(E127:G127),IF(AND(E10="*TEST",F127="",E127&lt;=30,G127&lt;=70),SUM(E127:G127),IF(AND(E10="*TEST",F127&lt;=20,E127&lt;=20,G127&lt;=60),SUM(E127:G127),IF(AND(E10="*TEST",F127="-",E127&lt;=20,G127&lt;=60),SUM(E127:G127),"ERROR"))))))</f>
        <v/>
      </c>
      <c r="I127" s="7" t="str">
        <f>IF(H127="ERROR","ERROR",IF(H127="","",IF(AND(F10="*LAB",F127="-"),"F",IF(H127&gt;69.5,"A",IF(H127&gt;59.5,"B",IF(H127&gt;49.5,"C",IF(AND(D10="*PROGRAM",H127&lt;49.5),"F",IF(H127&gt;44.5,"D",IF(H127&gt;39.5,"E","F")))))))))</f>
        <v/>
      </c>
      <c r="J127" s="7" t="str">
        <f t="shared" ref="J127:J166" si="6">IF(H127="ERROR","ERROR",IF(I127="","",IF(I127="F","FAIL","PASS")))</f>
        <v/>
      </c>
      <c r="K127" s="1"/>
    </row>
    <row r="128" ht="15.75" customHeight="1" spans="1:11">
      <c r="A128" s="28">
        <v>80</v>
      </c>
      <c r="B128" s="8" t="s">
        <v>114</v>
      </c>
      <c r="C128" s="9">
        <v>20241452833</v>
      </c>
      <c r="D128" s="7" t="str">
        <f>IF(D11="","",IF(H128="","",D11))</f>
        <v/>
      </c>
      <c r="E128" s="7"/>
      <c r="F128" s="7"/>
      <c r="G128" s="7"/>
      <c r="H128" s="10" t="str">
        <f>IF(AND(E128="",F128="",G128=""),"",IF(SUM(E128:G128)&gt;100,"ERROR",IF(AND(E10="TEST",SUM(E128:G128)&lt;=100),SUM(E128:G128),IF(AND(E10="*TEST",F128="",E128&lt;=30,G128&lt;=70),SUM(E128:G128),IF(AND(E10="*TEST",F128&lt;=20,E128&lt;=20,G128&lt;=60),SUM(E128:G128),IF(AND(E10="*TEST",F128="-",E128&lt;=20,G128&lt;=60),SUM(E128:G128),"ERROR"))))))</f>
        <v/>
      </c>
      <c r="I128" s="7" t="str">
        <f>IF(H128="ERROR","ERROR",IF(H128="","",IF(AND(F10="*LAB",F128="-"),"F",IF(H128&gt;69.5,"A",IF(H128&gt;59.5,"B",IF(H128&gt;49.5,"C",IF(AND(D10="*PROGRAM",H128&lt;49.5),"F",IF(H128&gt;44.5,"D",IF(H128&gt;39.5,"E","F")))))))))</f>
        <v/>
      </c>
      <c r="J128" s="7" t="str">
        <f t="shared" si="6"/>
        <v/>
      </c>
      <c r="K128" s="1"/>
    </row>
    <row r="129" ht="15.75" customHeight="1" spans="1:11">
      <c r="A129" s="28">
        <v>81</v>
      </c>
      <c r="B129" s="8" t="s">
        <v>115</v>
      </c>
      <c r="C129" s="9">
        <v>20241435693</v>
      </c>
      <c r="D129" s="7" t="str">
        <f>IF(D11="","",IF(H129="","",D11))</f>
        <v/>
      </c>
      <c r="E129" s="7"/>
      <c r="F129" s="7"/>
      <c r="G129" s="7"/>
      <c r="H129" s="10" t="str">
        <f>IF(AND(E129="",F129="",G129=""),"",IF(SUM(E129:G129)&gt;100,"ERROR",IF(AND(E10="TEST",SUM(E129:G129)&lt;=100),SUM(E129:G129),IF(AND(E10="*TEST",F129="",E129&lt;=30,G129&lt;=70),SUM(E129:G129),IF(AND(E10="*TEST",F129&lt;=20,E129&lt;=20,G129&lt;=60),SUM(E129:G129),IF(AND(E10="*TEST",F129="-",E129&lt;=20,G129&lt;=60),SUM(E129:G129),"ERROR"))))))</f>
        <v/>
      </c>
      <c r="I129" s="7" t="str">
        <f>IF(H129="ERROR","ERROR",IF(H129="","",IF(AND(F10="*LAB",F129="-"),"F",IF(H129&gt;69.5,"A",IF(H129&gt;59.5,"B",IF(H129&gt;49.5,"C",IF(AND(D10="*PROGRAM",H129&lt;49.5),"F",IF(H129&gt;44.5,"D",IF(H129&gt;39.5,"E","F")))))))))</f>
        <v/>
      </c>
      <c r="J129" s="7" t="str">
        <f t="shared" si="6"/>
        <v/>
      </c>
      <c r="K129" s="1"/>
    </row>
    <row r="130" ht="15.75" customHeight="1" spans="1:11">
      <c r="A130" s="28">
        <v>82</v>
      </c>
      <c r="B130" s="8" t="s">
        <v>116</v>
      </c>
      <c r="C130" s="9">
        <v>20241480793</v>
      </c>
      <c r="D130" s="7" t="str">
        <f>IF(D11="","",IF(H130="","",D11))</f>
        <v/>
      </c>
      <c r="E130" s="7"/>
      <c r="F130" s="7"/>
      <c r="G130" s="7"/>
      <c r="H130" s="10" t="str">
        <f>IF(AND(E130="",F130="",G130=""),"",IF(SUM(E130:G130)&gt;100,"ERROR",IF(AND(E10="TEST",SUM(E130:G130)&lt;=100),SUM(E130:G130),IF(AND(E10="*TEST",F130="",E130&lt;=30,G130&lt;=70),SUM(E130:G130),IF(AND(E10="*TEST",F130&lt;=20,E130&lt;=20,G130&lt;=60),SUM(E130:G130),IF(AND(E10="*TEST",F130="-",E130&lt;=20,G130&lt;=60),SUM(E130:G130),"ERROR"))))))</f>
        <v/>
      </c>
      <c r="I130" s="7" t="str">
        <f>IF(H130="ERROR","ERROR",IF(H130="","",IF(AND(F10="*LAB",F130="-"),"F",IF(H130&gt;69.5,"A",IF(H130&gt;59.5,"B",IF(H130&gt;49.5,"C",IF(AND(D10="*PROGRAM",H130&lt;49.5),"F",IF(H130&gt;44.5,"D",IF(H130&gt;39.5,"E","F")))))))))</f>
        <v/>
      </c>
      <c r="J130" s="7" t="str">
        <f t="shared" si="6"/>
        <v/>
      </c>
      <c r="K130" s="1"/>
    </row>
    <row r="131" ht="15.75" customHeight="1" spans="1:11">
      <c r="A131" s="28">
        <v>83</v>
      </c>
      <c r="B131" s="8" t="s">
        <v>117</v>
      </c>
      <c r="C131" s="9">
        <v>20241481843</v>
      </c>
      <c r="D131" s="7" t="str">
        <f>IF(D11="","",IF(H131="","",D11))</f>
        <v/>
      </c>
      <c r="E131" s="7"/>
      <c r="F131" s="7"/>
      <c r="G131" s="7"/>
      <c r="H131" s="10" t="str">
        <f>IF(AND(E131="",F131="",G131=""),"",IF(SUM(E131:G131)&gt;100,"ERROR",IF(AND(E10="TEST",SUM(E131:G131)&lt;=100),SUM(E131:G131),IF(AND(E10="*TEST",F131="",E131&lt;=30,G131&lt;=70),SUM(E131:G131),IF(AND(E10="*TEST",F131&lt;=20,E131&lt;=20,G131&lt;=60),SUM(E131:G131),IF(AND(E10="*TEST",F131="-",E131&lt;=20,G131&lt;=60),SUM(E131:G131),"ERROR"))))))</f>
        <v/>
      </c>
      <c r="I131" s="7" t="str">
        <f>IF(H131="ERROR","ERROR",IF(H131="","",IF(AND(F10="*LAB",F131="-"),"F",IF(H131&gt;69.5,"A",IF(H131&gt;59.5,"B",IF(H131&gt;49.5,"C",IF(AND(D10="*PROGRAM",H131&lt;49.5),"F",IF(H131&gt;44.5,"D",IF(H131&gt;39.5,"E","F")))))))))</f>
        <v/>
      </c>
      <c r="J131" s="7" t="str">
        <f t="shared" si="6"/>
        <v/>
      </c>
      <c r="K131" s="1"/>
    </row>
    <row r="132" ht="15.75" customHeight="1" spans="1:11">
      <c r="A132" s="28">
        <v>84</v>
      </c>
      <c r="B132" s="8" t="s">
        <v>118</v>
      </c>
      <c r="C132" s="9">
        <v>20241450513</v>
      </c>
      <c r="D132" s="7" t="str">
        <f>IF(D11="","",IF(H132="","",D11))</f>
        <v/>
      </c>
      <c r="E132" s="7"/>
      <c r="F132" s="7"/>
      <c r="G132" s="7"/>
      <c r="H132" s="10" t="str">
        <f>IF(AND(E132="",F132="",G132=""),"",IF(SUM(E132:G132)&gt;100,"ERROR",IF(AND(E10="TEST",SUM(E132:G132)&lt;=100),SUM(E132:G132),IF(AND(E10="*TEST",F132="",E132&lt;=30,G132&lt;=70),SUM(E132:G132),IF(AND(E10="*TEST",F132&lt;=20,E132&lt;=20,G132&lt;=60),SUM(E132:G132),IF(AND(E10="*TEST",F132="-",E132&lt;=20,G132&lt;=60),SUM(E132:G132),"ERROR"))))))</f>
        <v/>
      </c>
      <c r="I132" s="7" t="str">
        <f>IF(H132="ERROR","ERROR",IF(H132="","",IF(AND(F10="*LAB",F132="-"),"F",IF(H132&gt;69.5,"A",IF(H132&gt;59.5,"B",IF(H132&gt;49.5,"C",IF(AND(D10="*PROGRAM",H132&lt;49.5),"F",IF(H132&gt;44.5,"D",IF(H132&gt;39.5,"E","F")))))))))</f>
        <v/>
      </c>
      <c r="J132" s="7" t="str">
        <f t="shared" si="6"/>
        <v/>
      </c>
      <c r="K132" s="1"/>
    </row>
    <row r="133" ht="15.75" customHeight="1" spans="1:11">
      <c r="A133" s="28">
        <v>85</v>
      </c>
      <c r="B133" s="8" t="s">
        <v>119</v>
      </c>
      <c r="C133" s="9">
        <v>20241462333</v>
      </c>
      <c r="D133" s="7" t="str">
        <f>IF(D11="","",IF(H133="","",D11))</f>
        <v/>
      </c>
      <c r="E133" s="7"/>
      <c r="F133" s="7"/>
      <c r="G133" s="7"/>
      <c r="H133" s="10" t="str">
        <f>IF(AND(E133="",F133="",G133=""),"",IF(SUM(E133:G133)&gt;100,"ERROR",IF(AND(E10="TEST",SUM(E133:G133)&lt;=100),SUM(E133:G133),IF(AND(E10="*TEST",F133="",E133&lt;=30,G133&lt;=70),SUM(E133:G133),IF(AND(E10="*TEST",F133&lt;=20,E133&lt;=20,G133&lt;=60),SUM(E133:G133),IF(AND(E10="*TEST",F133="-",E133&lt;=20,G133&lt;=60),SUM(E133:G133),"ERROR"))))))</f>
        <v/>
      </c>
      <c r="I133" s="7" t="str">
        <f>IF(H133="ERROR","ERROR",IF(H133="","",IF(AND(F10="*LAB",F133="-"),"F",IF(H133&gt;69.5,"A",IF(H133&gt;59.5,"B",IF(H133&gt;49.5,"C",IF(AND(D10="*PROGRAM",H133&lt;49.5),"F",IF(H133&gt;44.5,"D",IF(H133&gt;39.5,"E","F")))))))))</f>
        <v/>
      </c>
      <c r="J133" s="7" t="str">
        <f t="shared" si="6"/>
        <v/>
      </c>
      <c r="K133" s="1"/>
    </row>
    <row r="134" ht="15.75" customHeight="1" spans="1:11">
      <c r="A134" s="28">
        <v>86</v>
      </c>
      <c r="B134" s="8" t="s">
        <v>120</v>
      </c>
      <c r="C134" s="9">
        <v>20241423263</v>
      </c>
      <c r="D134" s="7" t="str">
        <f>IF(D11="","",IF(H134="","",D11))</f>
        <v/>
      </c>
      <c r="E134" s="7"/>
      <c r="F134" s="7"/>
      <c r="G134" s="7"/>
      <c r="H134" s="10" t="str">
        <f>IF(AND(E134="",F134="",G134=""),"",IF(SUM(E134:G134)&gt;100,"ERROR",IF(AND(E10="TEST",SUM(E134:G134)&lt;=100),SUM(E134:G134),IF(AND(E10="*TEST",F134="",E134&lt;=30,G134&lt;=70),SUM(E134:G134),IF(AND(E10="*TEST",F134&lt;=20,E134&lt;=20,G134&lt;=60),SUM(E134:G134),IF(AND(E10="*TEST",F134="-",E134&lt;=20,G134&lt;=60),SUM(E134:G134),"ERROR"))))))</f>
        <v/>
      </c>
      <c r="I134" s="7" t="str">
        <f>IF(H134="ERROR","ERROR",IF(H134="","",IF(AND(F10="*LAB",F134="-"),"F",IF(H134&gt;69.5,"A",IF(H134&gt;59.5,"B",IF(H134&gt;49.5,"C",IF(AND(D10="*PROGRAM",H134&lt;49.5),"F",IF(H134&gt;44.5,"D",IF(H134&gt;39.5,"E","F")))))))))</f>
        <v/>
      </c>
      <c r="J134" s="7" t="str">
        <f t="shared" si="6"/>
        <v/>
      </c>
      <c r="K134" s="1"/>
    </row>
    <row r="135" ht="15.75" customHeight="1" spans="1:11">
      <c r="A135" s="28">
        <v>87</v>
      </c>
      <c r="B135" s="8" t="s">
        <v>121</v>
      </c>
      <c r="C135" s="9">
        <v>20241461113</v>
      </c>
      <c r="D135" s="7" t="str">
        <f>IF(D11="","",IF(H135="","",D11))</f>
        <v/>
      </c>
      <c r="E135" s="7"/>
      <c r="F135" s="7"/>
      <c r="G135" s="7"/>
      <c r="H135" s="10" t="str">
        <f>IF(AND(E135="",F135="",G135=""),"",IF(SUM(E135:G135)&gt;100,"ERROR",IF(AND(E10="TEST",SUM(E135:G135)&lt;=100),SUM(E135:G135),IF(AND(E10="*TEST",F135="",E135&lt;=30,G135&lt;=70),SUM(E135:G135),IF(AND(E10="*TEST",F135&lt;=20,E135&lt;=20,G135&lt;=60),SUM(E135:G135),IF(AND(E10="*TEST",F135="-",E135&lt;=20,G135&lt;=60),SUM(E135:G135),"ERROR"))))))</f>
        <v/>
      </c>
      <c r="I135" s="7" t="str">
        <f>IF(H135="ERROR","ERROR",IF(H135="","",IF(AND(F10="*LAB",F135="-"),"F",IF(H135&gt;69.5,"A",IF(H135&gt;59.5,"B",IF(H135&gt;49.5,"C",IF(AND(D10="*PROGRAM",H135&lt;49.5),"F",IF(H135&gt;44.5,"D",IF(H135&gt;39.5,"E","F")))))))))</f>
        <v/>
      </c>
      <c r="J135" s="7" t="str">
        <f t="shared" si="6"/>
        <v/>
      </c>
      <c r="K135" s="1"/>
    </row>
    <row r="136" ht="15.75" customHeight="1" spans="1:11">
      <c r="A136" s="28">
        <v>88</v>
      </c>
      <c r="B136" s="8" t="s">
        <v>122</v>
      </c>
      <c r="C136" s="9">
        <v>20242461753</v>
      </c>
      <c r="D136" s="7" t="str">
        <f>IF(D11="","",IF(H136="","",D11))</f>
        <v/>
      </c>
      <c r="E136" s="7"/>
      <c r="F136" s="7"/>
      <c r="G136" s="7"/>
      <c r="H136" s="10" t="str">
        <f>IF(AND(E136="",F136="",G136=""),"",IF(SUM(E136:G136)&gt;100,"ERROR",IF(AND(E10="TEST",SUM(E136:G136)&lt;=100),SUM(E136:G136),IF(AND(E10="*TEST",F136="",E136&lt;=30,G136&lt;=70),SUM(E136:G136),IF(AND(E10="*TEST",F136&lt;=20,E136&lt;=20,G136&lt;=60),SUM(E136:G136),IF(AND(E10="*TEST",F136="-",E136&lt;=20,G136&lt;=60),SUM(E136:G136),"ERROR"))))))</f>
        <v/>
      </c>
      <c r="I136" s="7" t="str">
        <f>IF(H136="ERROR","ERROR",IF(H136="","",IF(AND(F10="*LAB",F136="-"),"F",IF(H136&gt;69.5,"A",IF(H136&gt;59.5,"B",IF(H136&gt;49.5,"C",IF(AND(D10="*PROGRAM",H136&lt;49.5),"F",IF(H136&gt;44.5,"D",IF(H136&gt;39.5,"E","F")))))))))</f>
        <v/>
      </c>
      <c r="J136" s="7" t="str">
        <f t="shared" si="6"/>
        <v/>
      </c>
      <c r="K136" s="1"/>
    </row>
    <row r="137" ht="15.75" customHeight="1" spans="1:11">
      <c r="A137" s="28">
        <v>89</v>
      </c>
      <c r="B137" s="8" t="s">
        <v>123</v>
      </c>
      <c r="C137" s="9">
        <v>20241480303</v>
      </c>
      <c r="D137" s="7" t="str">
        <f>IF(D11="","",IF(H137="","",D11))</f>
        <v/>
      </c>
      <c r="E137" s="7"/>
      <c r="F137" s="7"/>
      <c r="G137" s="7"/>
      <c r="H137" s="10" t="str">
        <f>IF(AND(E137="",F137="",G137=""),"",IF(SUM(E137:G137)&gt;100,"ERROR",IF(AND(E10="TEST",SUM(E137:G137)&lt;=100),SUM(E137:G137),IF(AND(E10="*TEST",F137="",E137&lt;=30,G137&lt;=70),SUM(E137:G137),IF(AND(E10="*TEST",F137&lt;=20,E137&lt;=20,G137&lt;=60),SUM(E137:G137),IF(AND(E10="*TEST",F137="-",E137&lt;=20,G137&lt;=60),SUM(E137:G137),"ERROR"))))))</f>
        <v/>
      </c>
      <c r="I137" s="7" t="str">
        <f>IF(H137="ERROR","ERROR",IF(H137="","",IF(AND(F10="*LAB",F137="-"),"F",IF(H137&gt;69.5,"A",IF(H137&gt;59.5,"B",IF(H137&gt;49.5,"C",IF(AND(D10="*PROGRAM",H137&lt;49.5),"F",IF(H137&gt;44.5,"D",IF(H137&gt;39.5,"E","F")))))))))</f>
        <v/>
      </c>
      <c r="J137" s="7" t="str">
        <f t="shared" si="6"/>
        <v/>
      </c>
      <c r="K137" s="1"/>
    </row>
    <row r="138" ht="15.75" customHeight="1" spans="1:11">
      <c r="A138" s="28">
        <v>90</v>
      </c>
      <c r="B138" s="8" t="s">
        <v>124</v>
      </c>
      <c r="C138" s="9">
        <v>20241449453</v>
      </c>
      <c r="D138" s="7" t="str">
        <f>IF(D11="","",IF(H138="","",D11))</f>
        <v/>
      </c>
      <c r="E138" s="7"/>
      <c r="F138" s="7"/>
      <c r="G138" s="7"/>
      <c r="H138" s="10" t="str">
        <f>IF(AND(E138="",F138="",G138=""),"",IF(SUM(E138:G138)&gt;100,"ERROR",IF(AND(E10="TEST",SUM(E138:G138)&lt;=100),SUM(E138:G138),IF(AND(E10="*TEST",F138="",E138&lt;=30,G138&lt;=70),SUM(E138:G138),IF(AND(E10="*TEST",F138&lt;=20,E138&lt;=20,G138&lt;=60),SUM(E138:G138),IF(AND(E10="*TEST",F138="-",E138&lt;=20,G138&lt;=60),SUM(E138:G138),"ERROR"))))))</f>
        <v/>
      </c>
      <c r="I138" s="7" t="str">
        <f>IF(H138="ERROR","ERROR",IF(H138="","",IF(AND(F10="*LAB",F138="-"),"F",IF(H138&gt;69.5,"A",IF(H138&gt;59.5,"B",IF(H138&gt;49.5,"C",IF(AND(D10="*PROGRAM",H138&lt;49.5),"F",IF(H138&gt;44.5,"D",IF(H138&gt;39.5,"E","F")))))))))</f>
        <v/>
      </c>
      <c r="J138" s="7" t="str">
        <f t="shared" si="6"/>
        <v/>
      </c>
      <c r="K138" s="1"/>
    </row>
    <row r="139" ht="15.75" customHeight="1" spans="1:11">
      <c r="A139" s="28">
        <v>91</v>
      </c>
      <c r="B139" s="8" t="s">
        <v>125</v>
      </c>
      <c r="C139" s="9">
        <v>20241455613</v>
      </c>
      <c r="D139" s="7" t="str">
        <f>IF(D11="","",IF(H139="","",D11))</f>
        <v/>
      </c>
      <c r="E139" s="7"/>
      <c r="F139" s="7"/>
      <c r="G139" s="7"/>
      <c r="H139" s="10" t="str">
        <f>IF(AND(E139="",F139="",G139=""),"",IF(SUM(E139:G139)&gt;100,"ERROR",IF(AND(E10="TEST",SUM(E139:G139)&lt;=100),SUM(E139:G139),IF(AND(E10="*TEST",F139="",E139&lt;=30,G139&lt;=70),SUM(E139:G139),IF(AND(E10="*TEST",F139&lt;=20,E139&lt;=20,G139&lt;=60),SUM(E139:G139),IF(AND(E10="*TEST",F139="-",E139&lt;=20,G139&lt;=60),SUM(E139:G139),"ERROR"))))))</f>
        <v/>
      </c>
      <c r="I139" s="7" t="str">
        <f>IF(H139="ERROR","ERROR",IF(H139="","",IF(AND(F10="*LAB",F139="-"),"F",IF(H139&gt;69.5,"A",IF(H139&gt;59.5,"B",IF(H139&gt;49.5,"C",IF(AND(D10="*PROGRAM",H139&lt;49.5),"F",IF(H139&gt;44.5,"D",IF(H139&gt;39.5,"E","F")))))))))</f>
        <v/>
      </c>
      <c r="J139" s="7" t="str">
        <f t="shared" si="6"/>
        <v/>
      </c>
      <c r="K139" s="1"/>
    </row>
    <row r="140" ht="15.75" customHeight="1" spans="1:11">
      <c r="A140" s="28">
        <v>92</v>
      </c>
      <c r="B140" s="8" t="s">
        <v>126</v>
      </c>
      <c r="C140" s="9">
        <v>20241453603</v>
      </c>
      <c r="D140" s="7" t="str">
        <f>IF(D11="","",IF(H140="","",D11))</f>
        <v/>
      </c>
      <c r="E140" s="7"/>
      <c r="F140" s="7"/>
      <c r="G140" s="7"/>
      <c r="H140" s="10" t="str">
        <f>IF(AND(E140="",F140="",G140=""),"",IF(SUM(E140:G140)&gt;100,"ERROR",IF(AND(E10="TEST",SUM(E140:G140)&lt;=100),SUM(E140:G140),IF(AND(E10="*TEST",F140="",E140&lt;=30,G140&lt;=70),SUM(E140:G140),IF(AND(E10="*TEST",F140&lt;=20,E140&lt;=20,G140&lt;=60),SUM(E140:G140),IF(AND(E10="*TEST",F140="-",E140&lt;=20,G140&lt;=60),SUM(E140:G140),"ERROR"))))))</f>
        <v/>
      </c>
      <c r="I140" s="7" t="str">
        <f>IF(H140="ERROR","ERROR",IF(H140="","",IF(AND(F10="*LAB",F140="-"),"F",IF(H140&gt;69.5,"A",IF(H140&gt;59.5,"B",IF(H140&gt;49.5,"C",IF(AND(D10="*PROGRAM",H140&lt;49.5),"F",IF(H140&gt;44.5,"D",IF(H140&gt;39.5,"E","F")))))))))</f>
        <v/>
      </c>
      <c r="J140" s="7" t="str">
        <f t="shared" si="6"/>
        <v/>
      </c>
      <c r="K140" s="1"/>
    </row>
    <row r="141" ht="15.75" customHeight="1" spans="1:11">
      <c r="A141" s="28">
        <v>93</v>
      </c>
      <c r="B141" s="8" t="s">
        <v>127</v>
      </c>
      <c r="C141" s="9">
        <v>20241458033</v>
      </c>
      <c r="D141" s="7" t="str">
        <f>IF(D11="","",IF(H141="","",D11))</f>
        <v/>
      </c>
      <c r="E141" s="7"/>
      <c r="F141" s="7"/>
      <c r="G141" s="7"/>
      <c r="H141" s="10" t="str">
        <f>IF(AND(E141="",F141="",G141=""),"",IF(SUM(E141:G141)&gt;100,"ERROR",IF(AND(E10="TEST",SUM(E141:G141)&lt;=100),SUM(E141:G141),IF(AND(E10="*TEST",F141="",E141&lt;=30,G141&lt;=70),SUM(E141:G141),IF(AND(E10="*TEST",F141&lt;=20,E141&lt;=20,G141&lt;=60),SUM(E141:G141),IF(AND(E10="*TEST",F141="-",E141&lt;=20,G141&lt;=60),SUM(E141:G141),"ERROR"))))))</f>
        <v/>
      </c>
      <c r="I141" s="7" t="str">
        <f>IF(H141="ERROR","ERROR",IF(H141="","",IF(AND(F10="*LAB",F141="-"),"F",IF(H141&gt;69.5,"A",IF(H141&gt;59.5,"B",IF(H141&gt;49.5,"C",IF(AND(D10="*PROGRAM",H141&lt;49.5),"F",IF(H141&gt;44.5,"D",IF(H141&gt;39.5,"E","F")))))))))</f>
        <v/>
      </c>
      <c r="J141" s="7" t="str">
        <f t="shared" si="6"/>
        <v/>
      </c>
      <c r="K141" s="1"/>
    </row>
    <row r="142" ht="15.75" customHeight="1" spans="1:11">
      <c r="A142" s="28">
        <v>94</v>
      </c>
      <c r="B142" s="8" t="s">
        <v>128</v>
      </c>
      <c r="C142" s="9">
        <v>20241452483</v>
      </c>
      <c r="D142" s="7" t="str">
        <f>IF(D11="","",IF(H142="","",D11))</f>
        <v/>
      </c>
      <c r="E142" s="7"/>
      <c r="F142" s="7"/>
      <c r="G142" s="7"/>
      <c r="H142" s="10" t="str">
        <f>IF(AND(E142="",F142="",G142=""),"",IF(SUM(E142:G142)&gt;100,"ERROR",IF(AND(E10="TEST",SUM(E142:G142)&lt;=100),SUM(E142:G142),IF(AND(E10="*TEST",F142="",E142&lt;=30,G142&lt;=70),SUM(E142:G142),IF(AND(E10="*TEST",F142&lt;=20,E142&lt;=20,G142&lt;=60),SUM(E142:G142),IF(AND(E10="*TEST",F142="-",E142&lt;=20,G142&lt;=60),SUM(E142:G142),"ERROR"))))))</f>
        <v/>
      </c>
      <c r="I142" s="7" t="str">
        <f>IF(H142="ERROR","ERROR",IF(H142="","",IF(AND(F10="*LAB",F142="-"),"F",IF(H142&gt;69.5,"A",IF(H142&gt;59.5,"B",IF(H142&gt;49.5,"C",IF(AND(D10="*PROGRAM",H142&lt;49.5),"F",IF(H142&gt;44.5,"D",IF(H142&gt;39.5,"E","F")))))))))</f>
        <v/>
      </c>
      <c r="J142" s="7" t="str">
        <f t="shared" si="6"/>
        <v/>
      </c>
      <c r="K142" s="1"/>
    </row>
    <row r="143" ht="15.75" customHeight="1" spans="1:11">
      <c r="A143" s="28">
        <v>95</v>
      </c>
      <c r="B143" s="8" t="s">
        <v>129</v>
      </c>
      <c r="C143" s="9">
        <v>20241434673</v>
      </c>
      <c r="D143" s="7" t="str">
        <f>IF(D11="","",IF(H143="","",D11))</f>
        <v/>
      </c>
      <c r="E143" s="7"/>
      <c r="F143" s="7"/>
      <c r="G143" s="7"/>
      <c r="H143" s="10" t="str">
        <f>IF(AND(E143="",F143="",G143=""),"",IF(SUM(E143:G143)&gt;100,"ERROR",IF(AND(E10="TEST",SUM(E143:G143)&lt;=100),SUM(E143:G143),IF(AND(E10="*TEST",F143="",E143&lt;=30,G143&lt;=70),SUM(E143:G143),IF(AND(E10="*TEST",F143&lt;=20,E143&lt;=20,G143&lt;=60),SUM(E143:G143),IF(AND(E10="*TEST",F143="-",E143&lt;=20,G143&lt;=60),SUM(E143:G143),"ERROR"))))))</f>
        <v/>
      </c>
      <c r="I143" s="7" t="str">
        <f>IF(H143="ERROR","ERROR",IF(H143="","",IF(AND(F10="*LAB",F143="-"),"F",IF(H143&gt;69.5,"A",IF(H143&gt;59.5,"B",IF(H143&gt;49.5,"C",IF(AND(D10="*PROGRAM",H143&lt;49.5),"F",IF(H143&gt;44.5,"D",IF(H143&gt;39.5,"E","F")))))))))</f>
        <v/>
      </c>
      <c r="J143" s="7" t="str">
        <f t="shared" si="6"/>
        <v/>
      </c>
      <c r="K143" s="1"/>
    </row>
    <row r="144" ht="15.75" customHeight="1" spans="1:11">
      <c r="A144" s="28">
        <v>96</v>
      </c>
      <c r="B144" s="8" t="s">
        <v>130</v>
      </c>
      <c r="C144" s="9">
        <v>20241443393</v>
      </c>
      <c r="D144" s="7" t="str">
        <f>IF(D11="","",IF(H144="","",D11))</f>
        <v/>
      </c>
      <c r="E144" s="7"/>
      <c r="F144" s="7"/>
      <c r="G144" s="7"/>
      <c r="H144" s="10" t="str">
        <f>IF(AND(E144="",F144="",G144=""),"",IF(SUM(E144:G144)&gt;100,"ERROR",IF(AND(E10="TEST",SUM(E144:G144)&lt;=100),SUM(E144:G144),IF(AND(E10="*TEST",F144="",E144&lt;=30,G144&lt;=70),SUM(E144:G144),IF(AND(E10="*TEST",F144&lt;=20,E144&lt;=20,G144&lt;=60),SUM(E144:G144),IF(AND(E10="*TEST",F144="-",E144&lt;=20,G144&lt;=60),SUM(E144:G144),"ERROR"))))))</f>
        <v/>
      </c>
      <c r="I144" s="7" t="str">
        <f>IF(H144="ERROR","ERROR",IF(H144="","",IF(AND(F10="*LAB",F144="-"),"F",IF(H144&gt;69.5,"A",IF(H144&gt;59.5,"B",IF(H144&gt;49.5,"C",IF(AND(D10="*PROGRAM",H144&lt;49.5),"F",IF(H144&gt;44.5,"D",IF(H144&gt;39.5,"E","F")))))))))</f>
        <v/>
      </c>
      <c r="J144" s="7" t="str">
        <f t="shared" si="6"/>
        <v/>
      </c>
      <c r="K144" s="1"/>
    </row>
    <row r="145" ht="15.75" customHeight="1" spans="1:11">
      <c r="A145" s="28">
        <v>97</v>
      </c>
      <c r="B145" s="8" t="s">
        <v>131</v>
      </c>
      <c r="C145" s="9">
        <v>20241443653</v>
      </c>
      <c r="D145" s="7" t="str">
        <f>IF(D11="","",IF(H145="","",D11))</f>
        <v/>
      </c>
      <c r="E145" s="7"/>
      <c r="F145" s="7"/>
      <c r="G145" s="7"/>
      <c r="H145" s="10" t="str">
        <f>IF(AND(E145="",F145="",G145=""),"",IF(SUM(E145:G145)&gt;100,"ERROR",IF(AND(E10="TEST",SUM(E145:G145)&lt;=100),SUM(E145:G145),IF(AND(E10="*TEST",F145="",E145&lt;=30,G145&lt;=70),SUM(E145:G145),IF(AND(E10="*TEST",F145&lt;=20,E145&lt;=20,G145&lt;=60),SUM(E145:G145),IF(AND(E10="*TEST",F145="-",E145&lt;=20,G145&lt;=60),SUM(E145:G145),"ERROR"))))))</f>
        <v/>
      </c>
      <c r="I145" s="7" t="str">
        <f>IF(H145="ERROR","ERROR",IF(H145="","",IF(AND(F10="*LAB",F145="-"),"F",IF(H145&gt;69.5,"A",IF(H145&gt;59.5,"B",IF(H145&gt;49.5,"C",IF(AND(D10="*PROGRAM",H145&lt;49.5),"F",IF(H145&gt;44.5,"D",IF(H145&gt;39.5,"E","F")))))))))</f>
        <v/>
      </c>
      <c r="J145" s="7" t="str">
        <f t="shared" si="6"/>
        <v/>
      </c>
      <c r="K145" s="1"/>
    </row>
    <row r="146" ht="15.75" customHeight="1" spans="1:11">
      <c r="A146" s="28">
        <v>98</v>
      </c>
      <c r="B146" s="8" t="s">
        <v>132</v>
      </c>
      <c r="C146" s="9">
        <v>20241444283</v>
      </c>
      <c r="D146" s="7" t="str">
        <f>IF(D11="","",IF(H146="","",D11))</f>
        <v/>
      </c>
      <c r="E146" s="7"/>
      <c r="F146" s="7"/>
      <c r="G146" s="7"/>
      <c r="H146" s="10" t="str">
        <f>IF(AND(E146="",F146="",G146=""),"",IF(SUM(E146:G146)&gt;100,"ERROR",IF(AND(E10="TEST",SUM(E146:G146)&lt;=100),SUM(E146:G146),IF(AND(E10="*TEST",F146="",E146&lt;=30,G146&lt;=70),SUM(E146:G146),IF(AND(E10="*TEST",F146&lt;=20,E146&lt;=20,G146&lt;=60),SUM(E146:G146),IF(AND(E10="*TEST",F146="-",E146&lt;=20,G146&lt;=60),SUM(E146:G146),"ERROR"))))))</f>
        <v/>
      </c>
      <c r="I146" s="7" t="str">
        <f>IF(H146="ERROR","ERROR",IF(H146="","",IF(AND(F10="*LAB",F146="-"),"F",IF(H146&gt;69.5,"A",IF(H146&gt;59.5,"B",IF(H146&gt;49.5,"C",IF(AND(D10="*PROGRAM",H146&lt;49.5),"F",IF(H146&gt;44.5,"D",IF(H146&gt;39.5,"E","F")))))))))</f>
        <v/>
      </c>
      <c r="J146" s="7" t="str">
        <f t="shared" si="6"/>
        <v/>
      </c>
      <c r="K146" s="1"/>
    </row>
    <row r="147" ht="15.75" customHeight="1" spans="1:11">
      <c r="A147" s="28">
        <v>99</v>
      </c>
      <c r="B147" s="8" t="s">
        <v>133</v>
      </c>
      <c r="C147" s="9">
        <v>20241452263</v>
      </c>
      <c r="D147" s="7" t="str">
        <f>IF(D11="","",IF(H147="","",D11))</f>
        <v/>
      </c>
      <c r="E147" s="7"/>
      <c r="F147" s="7"/>
      <c r="G147" s="7"/>
      <c r="H147" s="10" t="str">
        <f>IF(AND(E147="",F147="",G147=""),"",IF(SUM(E147:G147)&gt;100,"ERROR",IF(AND(E10="TEST",SUM(E147:G147)&lt;=100),SUM(E147:G147),IF(AND(E10="*TEST",F147="",E147&lt;=30,G147&lt;=70),SUM(E147:G147),IF(AND(E10="*TEST",F147&lt;=20,E147&lt;=20,G147&lt;=60),SUM(E147:G147),IF(AND(E10="*TEST",F147="-",E147&lt;=20,G147&lt;=60),SUM(E147:G147),"ERROR"))))))</f>
        <v/>
      </c>
      <c r="I147" s="7" t="str">
        <f>IF(H147="ERROR","ERROR",IF(H147="","",IF(AND(F10="*LAB",F147="-"),"F",IF(H147&gt;69.5,"A",IF(H147&gt;59.5,"B",IF(H147&gt;49.5,"C",IF(AND(D10="*PROGRAM",H147&lt;49.5),"F",IF(H147&gt;44.5,"D",IF(H147&gt;39.5,"E","F")))))))))</f>
        <v/>
      </c>
      <c r="J147" s="7" t="str">
        <f t="shared" si="6"/>
        <v/>
      </c>
      <c r="K147" s="1"/>
    </row>
    <row r="148" ht="15.75" customHeight="1" spans="1:11">
      <c r="A148" s="28">
        <v>100</v>
      </c>
      <c r="B148" s="8" t="s">
        <v>134</v>
      </c>
      <c r="C148" s="9">
        <v>20241450563</v>
      </c>
      <c r="D148" s="7" t="str">
        <f>IF(D11="","",IF(H148="","",D11))</f>
        <v/>
      </c>
      <c r="E148" s="7"/>
      <c r="F148" s="7"/>
      <c r="G148" s="7"/>
      <c r="H148" s="10" t="str">
        <f>IF(AND(E148="",F148="",G148=""),"",IF(SUM(E148:G148)&gt;100,"ERROR",IF(AND(E10="TEST",SUM(E148:G148)&lt;=100),SUM(E148:G148),IF(AND(E10="*TEST",F148="",E148&lt;=30,G148&lt;=70),SUM(E148:G148),IF(AND(E10="*TEST",F148&lt;=20,E148&lt;=20,G148&lt;=60),SUM(E148:G148),IF(AND(E10="*TEST",F148="-",E148&lt;=20,G148&lt;=60),SUM(E148:G148),"ERROR"))))))</f>
        <v/>
      </c>
      <c r="I148" s="7" t="str">
        <f>IF(H148="ERROR","ERROR",IF(H148="","",IF(AND(F10="*LAB",F148="-"),"F",IF(H148&gt;69.5,"A",IF(H148&gt;59.5,"B",IF(H148&gt;49.5,"C",IF(AND(D10="*PROGRAM",H148&lt;49.5),"F",IF(H148&gt;44.5,"D",IF(H148&gt;39.5,"E","F")))))))))</f>
        <v/>
      </c>
      <c r="J148" s="7" t="str">
        <f t="shared" si="6"/>
        <v/>
      </c>
      <c r="K148" s="1"/>
    </row>
    <row r="149" ht="15.75" customHeight="1" spans="1:11">
      <c r="A149" s="28">
        <v>101</v>
      </c>
      <c r="B149" s="8" t="s">
        <v>135</v>
      </c>
      <c r="C149" s="9">
        <v>20241431633</v>
      </c>
      <c r="D149" s="7" t="str">
        <f>IF(D11="","",IF(H149="","",D11))</f>
        <v/>
      </c>
      <c r="E149" s="7"/>
      <c r="F149" s="7"/>
      <c r="G149" s="7"/>
      <c r="H149" s="10" t="str">
        <f>IF(AND(E149="",F149="",G149=""),"",IF(SUM(E149:G149)&gt;100,"ERROR",IF(AND(E10="TEST",SUM(E149:G149)&lt;=100),SUM(E149:G149),IF(AND(E10="*TEST",F149="",E149&lt;=30,G149&lt;=70),SUM(E149:G149),IF(AND(E10="*TEST",F149&lt;=20,E149&lt;=20,G149&lt;=60),SUM(E149:G149),IF(AND(E10="*TEST",F149="-",E149&lt;=20,G149&lt;=60),SUM(E149:G149),"ERROR"))))))</f>
        <v/>
      </c>
      <c r="I149" s="7" t="str">
        <f>IF(H149="ERROR","ERROR",IF(H149="","",IF(AND(F10="*LAB",F149="-"),"F",IF(H149&gt;69.5,"A",IF(H149&gt;59.5,"B",IF(H149&gt;49.5,"C",IF(AND(D10="*PROGRAM",H149&lt;49.5),"F",IF(H149&gt;44.5,"D",IF(H149&gt;39.5,"E","F")))))))))</f>
        <v/>
      </c>
      <c r="J149" s="7" t="str">
        <f t="shared" si="6"/>
        <v/>
      </c>
      <c r="K149" s="1"/>
    </row>
    <row r="150" ht="15.75" customHeight="1" spans="1:11">
      <c r="A150" s="28">
        <v>102</v>
      </c>
      <c r="B150" s="8" t="s">
        <v>136</v>
      </c>
      <c r="C150" s="9">
        <v>20241453233</v>
      </c>
      <c r="D150" s="7" t="str">
        <f>IF(D11="","",IF(H150="","",D11))</f>
        <v/>
      </c>
      <c r="E150" s="7"/>
      <c r="F150" s="7"/>
      <c r="G150" s="7"/>
      <c r="H150" s="10" t="str">
        <f>IF(AND(E150="",F150="",G150=""),"",IF(SUM(E150:G150)&gt;100,"ERROR",IF(AND(E10="TEST",SUM(E150:G150)&lt;=100),SUM(E150:G150),IF(AND(E10="*TEST",F150="",E150&lt;=30,G150&lt;=70),SUM(E150:G150),IF(AND(E10="*TEST",F150&lt;=20,E150&lt;=20,G150&lt;=60),SUM(E150:G150),IF(AND(E10="*TEST",F150="-",E150&lt;=20,G150&lt;=60),SUM(E150:G150),"ERROR"))))))</f>
        <v/>
      </c>
      <c r="I150" s="7" t="str">
        <f>IF(H150="ERROR","ERROR",IF(H150="","",IF(AND(F10="*LAB",F150="-"),"F",IF(H150&gt;69.5,"A",IF(H150&gt;59.5,"B",IF(H150&gt;49.5,"C",IF(AND(D10="*PROGRAM",H150&lt;49.5),"F",IF(H150&gt;44.5,"D",IF(H150&gt;39.5,"E","F")))))))))</f>
        <v/>
      </c>
      <c r="J150" s="7" t="str">
        <f t="shared" si="6"/>
        <v/>
      </c>
      <c r="K150" s="1"/>
    </row>
    <row r="151" ht="15.75" customHeight="1" spans="1:11">
      <c r="A151" s="28">
        <v>103</v>
      </c>
      <c r="B151" s="30" t="s">
        <v>137</v>
      </c>
      <c r="C151" s="31">
        <v>20241453843</v>
      </c>
      <c r="D151" s="7" t="str">
        <f>IF(D11="","",IF(H151="","",D11))</f>
        <v/>
      </c>
      <c r="E151" s="7"/>
      <c r="F151" s="7"/>
      <c r="G151" s="7"/>
      <c r="H151" s="10" t="str">
        <f>IF(AND(E151="",F151="",G151=""),"",IF(SUM(E151:G151)&gt;100,"ERROR",IF(AND(E10="TEST",SUM(E151:G151)&lt;=100),SUM(E151:G151),IF(AND(E10="*TEST",F151="",E151&lt;=30,G151&lt;=70),SUM(E151:G151),IF(AND(E10="*TEST",F151&lt;=20,E151&lt;=20,G151&lt;=60),SUM(E151:G151),IF(AND(E10="*TEST",F151="-",E151&lt;=20,G151&lt;=60),SUM(E151:G151),"ERROR"))))))</f>
        <v/>
      </c>
      <c r="I151" s="7" t="str">
        <f>IF(H151="ERROR","ERROR",IF(H151="","",IF(AND(F10="*LAB",F151="-"),"F",IF(H151&gt;69.5,"A",IF(H151&gt;59.5,"B",IF(H151&gt;49.5,"C",IF(AND(D10="*PROGRAM",H151&lt;49.5),"F",IF(H151&gt;44.5,"D",IF(H151&gt;39.5,"E","F")))))))))</f>
        <v/>
      </c>
      <c r="J151" s="7" t="str">
        <f t="shared" si="6"/>
        <v/>
      </c>
      <c r="K151" s="1"/>
    </row>
    <row r="152" ht="15.75" customHeight="1" spans="1:11">
      <c r="A152" s="28">
        <v>104</v>
      </c>
      <c r="B152" s="8" t="s">
        <v>138</v>
      </c>
      <c r="C152" s="9">
        <v>20241435893</v>
      </c>
      <c r="D152" s="7" t="str">
        <f>IF(D11="","",IF(H152="","",D11))</f>
        <v/>
      </c>
      <c r="E152" s="7"/>
      <c r="F152" s="7"/>
      <c r="G152" s="7"/>
      <c r="H152" s="10" t="str">
        <f>IF(AND(E152="",F152="",G152=""),"",IF(SUM(E152:G152)&gt;100,"ERROR",IF(AND(E10="TEST",SUM(E152:G152)&lt;=100),SUM(E152:G152),IF(AND(E10="*TEST",F152="",E152&lt;=30,G152&lt;=70),SUM(E152:G152),IF(AND(E10="*TEST",F152&lt;=20,E152&lt;=20,G152&lt;=60),SUM(E152:G152),IF(AND(E10="*TEST",F152="-",E152&lt;=20,G152&lt;=60),SUM(E152:G152),"ERROR"))))))</f>
        <v/>
      </c>
      <c r="I152" s="7" t="str">
        <f>IF(H152="ERROR","ERROR",IF(H152="","",IF(AND(F10="*LAB",F152="-"),"F",IF(H152&gt;69.5,"A",IF(H152&gt;59.5,"B",IF(H152&gt;49.5,"C",IF(AND(D10="*PROGRAM",H152&lt;49.5),"F",IF(H152&gt;44.5,"D",IF(H152&gt;39.5,"E","F")))))))))</f>
        <v/>
      </c>
      <c r="J152" s="7" t="str">
        <f t="shared" si="6"/>
        <v/>
      </c>
      <c r="K152" s="1"/>
    </row>
    <row r="153" ht="15.75" customHeight="1" spans="1:11">
      <c r="A153" s="28">
        <v>105</v>
      </c>
      <c r="B153" s="8" t="s">
        <v>139</v>
      </c>
      <c r="C153" s="9">
        <v>20241460843</v>
      </c>
      <c r="D153" s="7" t="str">
        <f>IF(D11="","",IF(H153="","",D11))</f>
        <v/>
      </c>
      <c r="E153" s="7"/>
      <c r="F153" s="7"/>
      <c r="G153" s="7"/>
      <c r="H153" s="10" t="str">
        <f>IF(AND(E153="",F153="",G153=""),"",IF(SUM(E153:G153)&gt;100,"ERROR",IF(AND(E10="TEST",SUM(E153:G153)&lt;=100),SUM(E153:G153),IF(AND(E10="*TEST",F153="",E153&lt;=30,G153&lt;=70),SUM(E153:G153),IF(AND(E10="*TEST",F153&lt;=20,E153&lt;=20,G153&lt;=60),SUM(E153:G153),IF(AND(E10="*TEST",F153="-",E153&lt;=20,G153&lt;=60),SUM(E153:G153),"ERROR"))))))</f>
        <v/>
      </c>
      <c r="I153" s="7" t="str">
        <f>IF(H153="ERROR","ERROR",IF(H153="","",IF(AND(F10="*LAB",F153="-"),"F",IF(H153&gt;69.5,"A",IF(H153&gt;59.5,"B",IF(H153&gt;49.5,"C",IF(AND(D10="*PROGRAM",H153&lt;49.5),"F",IF(H153&gt;44.5,"D",IF(H153&gt;39.5,"E","F")))))))))</f>
        <v/>
      </c>
      <c r="J153" s="7" t="str">
        <f t="shared" si="6"/>
        <v/>
      </c>
      <c r="K153" s="1"/>
    </row>
    <row r="154" ht="15.75" customHeight="1" spans="1:11">
      <c r="A154" s="28">
        <v>106</v>
      </c>
      <c r="B154" s="8" t="s">
        <v>140</v>
      </c>
      <c r="C154" s="9">
        <v>20241445113</v>
      </c>
      <c r="D154" s="7" t="str">
        <f>IF(D11="","",IF(H154="","",D11))</f>
        <v/>
      </c>
      <c r="E154" s="7"/>
      <c r="F154" s="7"/>
      <c r="G154" s="7"/>
      <c r="H154" s="10" t="str">
        <f>IF(AND(E154="",F154="",G154=""),"",IF(SUM(E154:G154)&gt;100,"ERROR",IF(AND(E10="TEST",SUM(E154:G154)&lt;=100),SUM(E154:G154),IF(AND(E10="*TEST",F154="",E154&lt;=30,G154&lt;=70),SUM(E154:G154),IF(AND(E10="*TEST",F154&lt;=20,E154&lt;=20,G154&lt;=60),SUM(E154:G154),IF(AND(E10="*TEST",F154="-",E154&lt;=20,G154&lt;=60),SUM(E154:G154),"ERROR"))))))</f>
        <v/>
      </c>
      <c r="I154" s="7" t="str">
        <f>IF(H154="ERROR","ERROR",IF(H154="","",IF(AND(F10="*LAB",F154="-"),"F",IF(H154&gt;69.5,"A",IF(H154&gt;59.5,"B",IF(H154&gt;49.5,"C",IF(AND(D10="*PROGRAM",H154&lt;49.5),"F",IF(H154&gt;44.5,"D",IF(H154&gt;39.5,"E","F")))))))))</f>
        <v/>
      </c>
      <c r="J154" s="7" t="str">
        <f t="shared" si="6"/>
        <v/>
      </c>
      <c r="K154" s="1"/>
    </row>
    <row r="155" ht="15.75" customHeight="1" spans="1:11">
      <c r="A155" s="28">
        <v>107</v>
      </c>
      <c r="B155" s="8" t="s">
        <v>141</v>
      </c>
      <c r="C155" s="9">
        <v>20241483753</v>
      </c>
      <c r="D155" s="7" t="str">
        <f>IF(D11="","",IF(H155="","",D11))</f>
        <v/>
      </c>
      <c r="E155" s="7"/>
      <c r="F155" s="7"/>
      <c r="G155" s="7"/>
      <c r="H155" s="10" t="str">
        <f>IF(AND(E155="",F155="",G155=""),"",IF(SUM(E155:G155)&gt;100,"ERROR",IF(AND(E10="TEST",SUM(E155:G155)&lt;=100),SUM(E155:G155),IF(AND(E10="*TEST",F155="",E155&lt;=30,G155&lt;=70),SUM(E155:G155),IF(AND(E10="*TEST",F155&lt;=20,E155&lt;=20,G155&lt;=60),SUM(E155:G155),IF(AND(E10="*TEST",F155="-",E155&lt;=20,G155&lt;=60),SUM(E155:G155),"ERROR"))))))</f>
        <v/>
      </c>
      <c r="I155" s="7" t="str">
        <f>IF(H155="ERROR","ERROR",IF(H155="","",IF(AND(F10="*LAB",F155="-"),"F",IF(H155&gt;69.5,"A",IF(H155&gt;59.5,"B",IF(H155&gt;49.5,"C",IF(AND(D10="*PROGRAM",H155&lt;49.5),"F",IF(H155&gt;44.5,"D",IF(H155&gt;39.5,"E","F")))))))))</f>
        <v/>
      </c>
      <c r="J155" s="7" t="str">
        <f t="shared" si="6"/>
        <v/>
      </c>
      <c r="K155" s="1"/>
    </row>
    <row r="156" ht="15.75" customHeight="1" spans="1:11">
      <c r="A156" s="28">
        <v>108</v>
      </c>
      <c r="B156" s="8" t="s">
        <v>142</v>
      </c>
      <c r="C156" s="9">
        <v>20241451233</v>
      </c>
      <c r="D156" s="7" t="str">
        <f>IF(D11="","",IF(H156="","",D11))</f>
        <v/>
      </c>
      <c r="E156" s="7"/>
      <c r="F156" s="7"/>
      <c r="G156" s="7"/>
      <c r="H156" s="10" t="str">
        <f>IF(AND(E156="",F156="",G156=""),"",IF(SUM(E156:G156)&gt;100,"ERROR",IF(AND(E10="TEST",SUM(E156:G156)&lt;=100),SUM(E156:G156),IF(AND(E10="*TEST",F156="",E156&lt;=30,G156&lt;=70),SUM(E156:G156),IF(AND(E10="*TEST",F156&lt;=20,E156&lt;=20,G156&lt;=60),SUM(E156:G156),IF(AND(E10="*TEST",F156="-",E156&lt;=20,G156&lt;=60),SUM(E156:G156),"ERROR"))))))</f>
        <v/>
      </c>
      <c r="I156" s="7" t="str">
        <f>IF(H156="ERROR","ERROR",IF(H156="","",IF(AND(F10="*LAB",F156="-"),"F",IF(H156&gt;69.5,"A",IF(H156&gt;59.5,"B",IF(H156&gt;49.5,"C",IF(AND(D10="*PROGRAM",H156&lt;49.5),"F",IF(H156&gt;44.5,"D",IF(H156&gt;39.5,"E","F")))))))))</f>
        <v/>
      </c>
      <c r="J156" s="7" t="str">
        <f t="shared" si="6"/>
        <v/>
      </c>
      <c r="K156" s="1"/>
    </row>
    <row r="157" ht="15.75" customHeight="1" spans="1:11">
      <c r="A157" s="28">
        <v>109</v>
      </c>
      <c r="B157" s="8" t="s">
        <v>143</v>
      </c>
      <c r="C157" s="9">
        <v>20241437143</v>
      </c>
      <c r="D157" s="7" t="str">
        <f>IF(D11="","",IF(H157="","",D11))</f>
        <v/>
      </c>
      <c r="E157" s="7"/>
      <c r="F157" s="7"/>
      <c r="G157" s="7"/>
      <c r="H157" s="10" t="str">
        <f>IF(AND(E157="",F157="",G157=""),"",IF(SUM(E157:G157)&gt;100,"ERROR",IF(AND(E10="TEST",SUM(E157:G157)&lt;=100),SUM(E157:G157),IF(AND(E10="*TEST",F157="",E157&lt;=30,G157&lt;=70),SUM(E157:G157),IF(AND(E10="*TEST",F157&lt;=20,E157&lt;=20,G157&lt;=60),SUM(E157:G157),IF(AND(E10="*TEST",F157="-",E157&lt;=20,G157&lt;=60),SUM(E157:G157),"ERROR"))))))</f>
        <v/>
      </c>
      <c r="I157" s="7" t="str">
        <f>IF(H157="ERROR","ERROR",IF(H157="","",IF(AND(F10="*LAB",F157="-"),"F",IF(H157&gt;69.5,"A",IF(H157&gt;59.5,"B",IF(H157&gt;49.5,"C",IF(AND(D10="*PROGRAM",H157&lt;49.5),"F",IF(H157&gt;44.5,"D",IF(H157&gt;39.5,"E","F")))))))))</f>
        <v/>
      </c>
      <c r="J157" s="7" t="str">
        <f t="shared" si="6"/>
        <v/>
      </c>
      <c r="K157" s="1"/>
    </row>
    <row r="158" ht="15.75" customHeight="1" spans="1:11">
      <c r="A158" s="28">
        <v>110</v>
      </c>
      <c r="B158" s="8" t="s">
        <v>144</v>
      </c>
      <c r="C158" s="9">
        <v>20241450333</v>
      </c>
      <c r="D158" s="7" t="str">
        <f>IF(D11="","",IF(H158="","",D11))</f>
        <v/>
      </c>
      <c r="E158" s="7"/>
      <c r="F158" s="7"/>
      <c r="G158" s="7"/>
      <c r="H158" s="10" t="str">
        <f>IF(AND(E158="",F158="",G158=""),"",IF(SUM(E158:G158)&gt;100,"ERROR",IF(AND(E10="TEST",SUM(E158:G158)&lt;=100),SUM(E158:G158),IF(AND(E10="*TEST",F158="",E158&lt;=30,G158&lt;=70),SUM(E158:G158),IF(AND(E10="*TEST",F158&lt;=20,E158&lt;=20,G158&lt;=60),SUM(E158:G158),IF(AND(E10="*TEST",F158="-",E158&lt;=20,G158&lt;=60),SUM(E158:G158),"ERROR"))))))</f>
        <v/>
      </c>
      <c r="I158" s="7" t="str">
        <f>IF(H158="ERROR","ERROR",IF(H158="","",IF(AND(F10="*LAB",F158="-"),"F",IF(H158&gt;69.5,"A",IF(H158&gt;59.5,"B",IF(H158&gt;49.5,"C",IF(AND(D10="*PROGRAM",H158&lt;49.5),"F",IF(H158&gt;44.5,"D",IF(H158&gt;39.5,"E","F")))))))))</f>
        <v/>
      </c>
      <c r="J158" s="7" t="str">
        <f t="shared" si="6"/>
        <v/>
      </c>
      <c r="K158" s="1"/>
    </row>
    <row r="159" ht="15.75" customHeight="1" spans="1:11">
      <c r="A159" s="28">
        <v>111</v>
      </c>
      <c r="B159" s="8" t="s">
        <v>145</v>
      </c>
      <c r="C159" s="9">
        <v>20241438453</v>
      </c>
      <c r="D159" s="7" t="str">
        <f>IF(D11="","",IF(H159="","",D11))</f>
        <v/>
      </c>
      <c r="E159" s="7"/>
      <c r="F159" s="7"/>
      <c r="G159" s="7"/>
      <c r="H159" s="10" t="str">
        <f>IF(AND(E159="",F159="",G159=""),"",IF(SUM(E159:G159)&gt;100,"ERROR",IF(AND(E10="TEST",SUM(E159:G159)&lt;=100),SUM(E159:G159),IF(AND(E10="*TEST",F159="",E159&lt;=30,G159&lt;=70),SUM(E159:G159),IF(AND(E10="*TEST",F159&lt;=20,E159&lt;=20,G159&lt;=60),SUM(E159:G159),IF(AND(E10="*TEST",F159="-",E159&lt;=20,G159&lt;=60),SUM(E159:G159),"ERROR"))))))</f>
        <v/>
      </c>
      <c r="I159" s="7" t="str">
        <f>IF(H159="ERROR","ERROR",IF(H159="","",IF(AND(F10="*LAB",F159="-"),"F",IF(H159&gt;69.5,"A",IF(H159&gt;59.5,"B",IF(H159&gt;49.5,"C",IF(AND(D10="*PROGRAM",H159&lt;49.5),"F",IF(H159&gt;44.5,"D",IF(H159&gt;39.5,"E","F")))))))))</f>
        <v/>
      </c>
      <c r="J159" s="7" t="str">
        <f t="shared" si="6"/>
        <v/>
      </c>
      <c r="K159" s="1"/>
    </row>
    <row r="160" ht="15.75" customHeight="1" spans="1:11">
      <c r="A160" s="28">
        <v>112</v>
      </c>
      <c r="B160" s="8" t="s">
        <v>146</v>
      </c>
      <c r="C160" s="9">
        <v>20241449903</v>
      </c>
      <c r="D160" s="7" t="str">
        <f>IF(D11="","",IF(H160="","",D11))</f>
        <v/>
      </c>
      <c r="E160" s="7"/>
      <c r="F160" s="7"/>
      <c r="G160" s="7"/>
      <c r="H160" s="10" t="str">
        <f>IF(AND(E160="",F160="",G160=""),"",IF(SUM(E160:G160)&gt;100,"ERROR",IF(AND(E10="TEST",SUM(E160:G160)&lt;=100),SUM(E160:G160),IF(AND(E10="*TEST",F160="",E160&lt;=30,G160&lt;=70),SUM(E160:G160),IF(AND(E10="*TEST",F160&lt;=20,E160&lt;=20,G160&lt;=60),SUM(E160:G160),IF(AND(E10="*TEST",F160="-",E160&lt;=20,G160&lt;=60),SUM(E160:G160),"ERROR"))))))</f>
        <v/>
      </c>
      <c r="I160" s="7" t="str">
        <f>IF(H160="ERROR","ERROR",IF(H160="","",IF(AND(F10="*LAB",F160="-"),"F",IF(H160&gt;69.5,"A",IF(H160&gt;59.5,"B",IF(H160&gt;49.5,"C",IF(AND(D10="*PROGRAM",H160&lt;49.5),"F",IF(H160&gt;44.5,"D",IF(H160&gt;39.5,"E","F")))))))))</f>
        <v/>
      </c>
      <c r="J160" s="7" t="str">
        <f t="shared" si="6"/>
        <v/>
      </c>
      <c r="K160" s="1"/>
    </row>
    <row r="161" ht="15.75" customHeight="1" spans="1:11">
      <c r="A161" s="28">
        <v>113</v>
      </c>
      <c r="B161" s="8" t="s">
        <v>147</v>
      </c>
      <c r="C161" s="9">
        <v>20241434273</v>
      </c>
      <c r="D161" s="7" t="str">
        <f>IF(D11="","",IF(H161="","",D11))</f>
        <v/>
      </c>
      <c r="E161" s="7"/>
      <c r="F161" s="7"/>
      <c r="G161" s="7"/>
      <c r="H161" s="10" t="str">
        <f>IF(AND(E161="",F161="",G161=""),"",IF(SUM(E161:G161)&gt;100,"ERROR",IF(AND(E10="TEST",SUM(E161:G161)&lt;=100),SUM(E161:G161),IF(AND(E10="*TEST",F161="",E161&lt;=30,G161&lt;=70),SUM(E161:G161),IF(AND(E10="*TEST",F161&lt;=20,E161&lt;=20,G161&lt;=60),SUM(E161:G161),IF(AND(E10="*TEST",F161="-",E161&lt;=20,G161&lt;=60),SUM(E161:G161),"ERROR"))))))</f>
        <v/>
      </c>
      <c r="I161" s="7" t="str">
        <f>IF(H161="ERROR","ERROR",IF(H161="","",IF(AND(F10="*LAB",F161="-"),"F",IF(H161&gt;69.5,"A",IF(H161&gt;59.5,"B",IF(H161&gt;49.5,"C",IF(AND(D10="*PROGRAM",H161&lt;49.5),"F",IF(H161&gt;44.5,"D",IF(H161&gt;39.5,"E","F")))))))))</f>
        <v/>
      </c>
      <c r="J161" s="7" t="str">
        <f t="shared" si="6"/>
        <v/>
      </c>
      <c r="K161" s="1"/>
    </row>
    <row r="162" ht="15.75" customHeight="1" spans="1:11">
      <c r="A162" s="28">
        <v>114</v>
      </c>
      <c r="B162" s="8" t="s">
        <v>148</v>
      </c>
      <c r="C162" s="9">
        <v>20241426673</v>
      </c>
      <c r="D162" s="7" t="str">
        <f>IF(D11="","",IF(H162="","",D11))</f>
        <v/>
      </c>
      <c r="E162" s="7"/>
      <c r="F162" s="7"/>
      <c r="G162" s="7"/>
      <c r="H162" s="10" t="str">
        <f>IF(AND(E162="",F162="",G162=""),"",IF(SUM(E162:G162)&gt;100,"ERROR",IF(AND(E10="TEST",SUM(E162:G162)&lt;=100),SUM(E162:G162),IF(AND(E10="*TEST",F162="",E162&lt;=30,G162&lt;=70),SUM(E162:G162),IF(AND(E10="*TEST",F162&lt;=20,E162&lt;=20,G162&lt;=60),SUM(E162:G162),IF(AND(E10="*TEST",F162="-",E162&lt;=20,G162&lt;=60),SUM(E162:G162),"ERROR"))))))</f>
        <v/>
      </c>
      <c r="I162" s="7" t="str">
        <f>IF(H162="ERROR","ERROR",IF(H162="","",IF(AND(F10="*LAB",F162="-"),"F",IF(H162&gt;69.5,"A",IF(H162&gt;59.5,"B",IF(H162&gt;49.5,"C",IF(AND(D10="*PROGRAM",H162&lt;49.5),"F",IF(H162&gt;44.5,"D",IF(H162&gt;39.5,"E","F")))))))))</f>
        <v/>
      </c>
      <c r="J162" s="7" t="str">
        <f t="shared" si="6"/>
        <v/>
      </c>
      <c r="K162" s="1"/>
    </row>
    <row r="163" ht="15.75" customHeight="1" spans="1:11">
      <c r="A163" s="28">
        <v>115</v>
      </c>
      <c r="B163" s="8" t="s">
        <v>149</v>
      </c>
      <c r="C163" s="9">
        <v>20241455443</v>
      </c>
      <c r="D163" s="7" t="str">
        <f>IF(D11="","",IF(H163="","",D11))</f>
        <v/>
      </c>
      <c r="E163" s="7"/>
      <c r="F163" s="7"/>
      <c r="G163" s="7"/>
      <c r="H163" s="10" t="str">
        <f>IF(AND(E163="",F163="",G163=""),"",IF(SUM(E163:G163)&gt;100,"ERROR",IF(AND(E10="TEST",SUM(E163:G163)&lt;=100),SUM(E163:G163),IF(AND(E10="*TEST",F163="",E163&lt;=30,G163&lt;=70),SUM(E163:G163),IF(AND(E10="*TEST",F163&lt;=20,E163&lt;=20,G163&lt;=60),SUM(E163:G163),IF(AND(E10="*TEST",F163="-",E163&lt;=20,G163&lt;=60),SUM(E163:G163),"ERROR"))))))</f>
        <v/>
      </c>
      <c r="I163" s="7" t="str">
        <f>IF(H163="ERROR","ERROR",IF(H163="","",IF(AND(F10="*LAB",F163="-"),"F",IF(H163&gt;69.5,"A",IF(H163&gt;59.5,"B",IF(H163&gt;49.5,"C",IF(AND(D10="*PROGRAM",H163&lt;49.5),"F",IF(H163&gt;44.5,"D",IF(H163&gt;39.5,"E","F")))))))))</f>
        <v/>
      </c>
      <c r="J163" s="7" t="str">
        <f t="shared" si="6"/>
        <v/>
      </c>
      <c r="K163" s="1"/>
    </row>
    <row r="164" ht="15.75" customHeight="1" spans="1:11">
      <c r="A164" s="28">
        <v>116</v>
      </c>
      <c r="B164" s="8" t="s">
        <v>150</v>
      </c>
      <c r="C164" s="9">
        <v>20252561773</v>
      </c>
      <c r="D164" s="7" t="str">
        <f>IF(D11="","",IF(H164="","",D11))</f>
        <v/>
      </c>
      <c r="E164" s="7"/>
      <c r="F164" s="7"/>
      <c r="G164" s="7"/>
      <c r="H164" s="10" t="str">
        <f>IF(AND(E164="",F164="",G164=""),"",IF(SUM(E164:G164)&gt;100,"ERROR",IF(AND(E10="TEST",SUM(E164:G164)&lt;=100),SUM(E164:G164),IF(AND(E10="*TEST",F164="",E164&lt;=30,G164&lt;=70),SUM(E164:G164),IF(AND(E10="*TEST",F164&lt;=20,E164&lt;=20,G164&lt;=60),SUM(E164:G164),IF(AND(E10="*TEST",F164="-",E164&lt;=20,G164&lt;=60),SUM(E164:G164),"ERROR"))))))</f>
        <v/>
      </c>
      <c r="I164" s="7" t="str">
        <f>IF(H164="ERROR","ERROR",IF(H164="","",IF(AND(F10="*LAB",F164="-"),"F",IF(H164&gt;69.5,"A",IF(H164&gt;59.5,"B",IF(H164&gt;49.5,"C",IF(AND(D10="*PROGRAM",H164&lt;49.5),"F",IF(H164&gt;44.5,"D",IF(H164&gt;39.5,"E","F")))))))))</f>
        <v/>
      </c>
      <c r="J164" s="7" t="str">
        <f t="shared" si="6"/>
        <v/>
      </c>
      <c r="K164" s="1"/>
    </row>
    <row r="165" ht="15.75" customHeight="1" spans="1:11">
      <c r="A165" s="28">
        <v>117</v>
      </c>
      <c r="B165" s="8" t="s">
        <v>151</v>
      </c>
      <c r="C165" s="9">
        <v>20242467243</v>
      </c>
      <c r="D165" s="7" t="str">
        <f>IF(D11="","",IF(H165="","",D11))</f>
        <v/>
      </c>
      <c r="E165" s="7"/>
      <c r="F165" s="7"/>
      <c r="G165" s="7"/>
      <c r="H165" s="10" t="str">
        <f>IF(AND(E165="",F165="",G165=""),"",IF(SUM(E165:G165)&gt;100,"ERROR",IF(AND(E10="TEST",SUM(E165:G165)&lt;=100),SUM(E165:G165),IF(AND(E10="*TEST",F165="",E165&lt;=30,G165&lt;=70),SUM(E165:G165),IF(AND(E10="*TEST",F165&lt;=20,E165&lt;=20,G165&lt;=60),SUM(E165:G165),IF(AND(E10="*TEST",F165="-",E165&lt;=20,G165&lt;=60),SUM(E165:G165),"ERROR"))))))</f>
        <v/>
      </c>
      <c r="I165" s="7" t="str">
        <f>IF(H165="ERROR","ERROR",IF(H165="","",IF(AND(F10="*LAB",F165="-"),"F",IF(H165&gt;69.5,"A",IF(H165&gt;59.5,"B",IF(H165&gt;49.5,"C",IF(AND(D10="*PROGRAM",H165&lt;49.5),"F",IF(H165&gt;44.5,"D",IF(H165&gt;39.5,"E","F")))))))))</f>
        <v/>
      </c>
      <c r="J165" s="7" t="str">
        <f t="shared" si="6"/>
        <v/>
      </c>
      <c r="K165" s="1"/>
    </row>
    <row r="166" ht="15.75" customHeight="1" spans="1:11">
      <c r="A166" s="28">
        <v>118</v>
      </c>
      <c r="B166" s="8" t="s">
        <v>152</v>
      </c>
      <c r="C166" s="9">
        <v>20241440003</v>
      </c>
      <c r="D166" s="7" t="str">
        <f>IF(D11="","",IF(H166="","",D11))</f>
        <v/>
      </c>
      <c r="E166" s="7"/>
      <c r="F166" s="7"/>
      <c r="G166" s="7"/>
      <c r="H166" s="10" t="str">
        <f>IF(AND(E166="",F166="",G166=""),"",IF(SUM(E166:G166)&gt;100,"ERROR",IF(AND(E10="TEST",SUM(E166:G166)&lt;=100),SUM(E166:G166),IF(AND(E10="*TEST",F166="",E166&lt;=30,G166&lt;=70),SUM(E166:G166),IF(AND(E10="*TEST",F166&lt;=20,E166&lt;=20,G166&lt;=60),SUM(E166:G166),IF(AND(E10="*TEST",F166="-",E166&lt;=20,G166&lt;=60),SUM(E166:G166),"ERROR"))))))</f>
        <v/>
      </c>
      <c r="I166" s="7" t="str">
        <f>IF(H166="ERROR","ERROR",IF(H166="","",IF(AND(F10="*LAB",F166="-"),"F",IF(H166&gt;69.5,"A",IF(H166&gt;59.5,"B",IF(H166&gt;49.5,"C",IF(AND(D10="*PROGRAM",H166&lt;49.5),"F",IF(H166&gt;44.5,"D",IF(H166&gt;39.5,"E","F")))))))))</f>
        <v/>
      </c>
      <c r="J166" s="7" t="str">
        <f t="shared" si="6"/>
        <v/>
      </c>
      <c r="K166" s="1"/>
    </row>
    <row r="167" ht="24.75" customHeight="1" spans="1:11">
      <c r="A167" s="1"/>
      <c r="B167" s="12"/>
      <c r="C167" s="1"/>
      <c r="D167" s="1"/>
      <c r="E167" s="1"/>
      <c r="F167" s="1"/>
      <c r="G167" s="13"/>
      <c r="H167" s="14"/>
      <c r="I167" s="14"/>
      <c r="J167" s="14"/>
      <c r="K167" s="1"/>
    </row>
    <row r="168" ht="15.75" customHeight="1" spans="1:11">
      <c r="A168" s="1"/>
      <c r="B168" s="15" t="s">
        <v>60</v>
      </c>
      <c r="C168" s="13"/>
      <c r="D168" s="13"/>
      <c r="E168" s="13"/>
      <c r="F168" s="13"/>
      <c r="G168" s="16" t="s">
        <v>61</v>
      </c>
      <c r="H168" s="17"/>
      <c r="I168" s="17"/>
      <c r="J168" s="17"/>
      <c r="K168" s="1"/>
    </row>
    <row r="169" ht="15.75" customHeight="1" spans="1:11">
      <c r="A169" s="1" t="str">
        <f>IF(AND(I186="",I127&lt;&gt;""),A889,"")</f>
        <v/>
      </c>
      <c r="B169" s="2" t="str">
        <f>IF(A169="","",B889)</f>
        <v/>
      </c>
      <c r="C169" s="16" t="s">
        <v>62</v>
      </c>
      <c r="D169" s="17"/>
      <c r="E169" s="17"/>
      <c r="F169" s="17"/>
      <c r="G169" s="1"/>
      <c r="H169" s="1"/>
      <c r="I169" s="1"/>
      <c r="J169" s="1"/>
      <c r="K169" s="1"/>
    </row>
    <row r="170" ht="15.75" customHeight="1" spans="1:11">
      <c r="A170" s="1" t="str">
        <f>IF(A169="","",A890)</f>
        <v/>
      </c>
      <c r="B170" s="2" t="str">
        <f>IF(A169="","",B890)</f>
        <v/>
      </c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 spans="1:11">
      <c r="A171" s="1" t="str">
        <f>IF(A169="","",A891)</f>
        <v/>
      </c>
      <c r="B171" s="2" t="str">
        <f>IF(A169="","",B891)</f>
        <v/>
      </c>
      <c r="C171" s="18" t="s">
        <v>63</v>
      </c>
      <c r="D171" s="17"/>
      <c r="E171" s="17"/>
      <c r="F171" s="17"/>
      <c r="G171" s="17"/>
      <c r="H171" s="17"/>
      <c r="I171" s="17"/>
      <c r="J171" s="24"/>
      <c r="K171" s="1"/>
    </row>
    <row r="172" ht="15.75" customHeight="1" spans="1:11">
      <c r="A172" s="1" t="str">
        <f>IF(A169="","",A892)</f>
        <v/>
      </c>
      <c r="B172" s="2" t="str">
        <f>IF(A169="","",B892)</f>
        <v/>
      </c>
      <c r="C172" s="19" t="s">
        <v>64</v>
      </c>
      <c r="F172" s="15"/>
      <c r="G172" s="15" t="s">
        <v>65</v>
      </c>
      <c r="J172" s="25"/>
      <c r="K172" s="1"/>
    </row>
    <row r="173" ht="15.75" customHeight="1" spans="1:11">
      <c r="A173" s="1" t="str">
        <f>IF(A169="","",A893)</f>
        <v/>
      </c>
      <c r="B173" s="2" t="str">
        <f>IF(A169="","",B893)</f>
        <v/>
      </c>
      <c r="C173" s="19" t="s">
        <v>66</v>
      </c>
      <c r="F173" s="15"/>
      <c r="G173" s="15" t="s">
        <v>67</v>
      </c>
      <c r="J173" s="25"/>
      <c r="K173" s="1"/>
    </row>
    <row r="174" ht="15.75" customHeight="1" spans="1:11">
      <c r="A174" s="1" t="str">
        <f>IF(A169="","",A894)</f>
        <v/>
      </c>
      <c r="B174" s="2" t="str">
        <f>IF(A169="","",B894)</f>
        <v/>
      </c>
      <c r="C174" s="20" t="s">
        <v>68</v>
      </c>
      <c r="D174" s="14"/>
      <c r="E174" s="14"/>
      <c r="F174" s="21"/>
      <c r="G174" s="21" t="s">
        <v>69</v>
      </c>
      <c r="H174" s="14"/>
      <c r="I174" s="14"/>
      <c r="J174" s="26"/>
      <c r="K174" s="1"/>
    </row>
    <row r="175" ht="15.75" customHeight="1" spans="1:11">
      <c r="A175" s="1" t="str">
        <f>IF(A169="","",A895)</f>
        <v/>
      </c>
      <c r="B175" s="22" t="str">
        <f>IF(A169="","",B895)</f>
        <v/>
      </c>
      <c r="C175" s="1"/>
      <c r="D175" s="1"/>
      <c r="E175" s="1"/>
      <c r="F175" s="1"/>
      <c r="G175" s="1"/>
      <c r="H175" s="1"/>
      <c r="I175" s="1"/>
      <c r="J175" s="27" t="s">
        <v>153</v>
      </c>
      <c r="K175" s="1"/>
    </row>
    <row r="176" ht="15.75" customHeight="1" spans="1:11">
      <c r="A176" s="23"/>
      <c r="B176" s="23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 spans="1:11">
      <c r="A177" s="1"/>
      <c r="B177" s="3" t="s">
        <v>0</v>
      </c>
      <c r="K177" s="1"/>
    </row>
    <row r="178" ht="15.75" customHeight="1" spans="1:11">
      <c r="A178" s="1"/>
      <c r="B178" s="4" t="s">
        <v>1</v>
      </c>
      <c r="K178" s="1"/>
    </row>
    <row r="179" ht="15.75" customHeight="1" spans="1:1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 spans="1:11">
      <c r="A180" s="2" t="str">
        <f t="shared" ref="A180:A183" si="7">A5</f>
        <v>School of Student: SEET</v>
      </c>
      <c r="D180" s="1"/>
      <c r="E180" s="5">
        <f t="shared" ref="E180:E183" si="8">E5</f>
        <v>0</v>
      </c>
      <c r="K180" s="1"/>
    </row>
    <row r="181" ht="15.75" customHeight="1" spans="1:11">
      <c r="A181" s="2" t="str">
        <f t="shared" si="7"/>
        <v>Department: BIOMEDICAL ENGINEERING</v>
      </c>
      <c r="D181" s="1"/>
      <c r="E181" s="5" t="str">
        <f t="shared" si="8"/>
        <v>Session: ---------------------------------</v>
      </c>
      <c r="K181" s="1"/>
    </row>
    <row r="182" ht="15.75" customHeight="1" spans="1:11">
      <c r="A182" s="2" t="str">
        <f t="shared" si="7"/>
        <v>Title of Course: ------------------------</v>
      </c>
      <c r="D182" s="1"/>
      <c r="E182" s="5" t="str">
        <f t="shared" si="8"/>
        <v>Course Code: -------------------------</v>
      </c>
      <c r="K182" s="1"/>
    </row>
    <row r="183" ht="15.75" customHeight="1" spans="1:11">
      <c r="A183" s="2" t="str">
        <f t="shared" si="7"/>
        <v>School Offering Course: ----------------------------</v>
      </c>
      <c r="D183" s="1"/>
      <c r="E183" s="5" t="str">
        <f t="shared" si="8"/>
        <v>Date: -----------------------------</v>
      </c>
      <c r="K183" s="1"/>
    </row>
    <row r="184" ht="15.75" customHeight="1" spans="1:11">
      <c r="A184" s="1"/>
      <c r="B184" s="2"/>
      <c r="C184" s="1"/>
      <c r="D184" s="5"/>
      <c r="E184" s="5"/>
      <c r="F184" s="5"/>
      <c r="G184" s="5"/>
      <c r="H184" s="5"/>
      <c r="I184" s="5"/>
      <c r="J184" s="5"/>
      <c r="K184" s="1"/>
    </row>
    <row r="185" ht="15.75" customHeight="1" spans="1:11">
      <c r="A185" s="6" t="s">
        <v>9</v>
      </c>
      <c r="B185" s="6" t="s">
        <v>10</v>
      </c>
      <c r="C185" s="6" t="s">
        <v>11</v>
      </c>
      <c r="D185" s="6" t="s">
        <v>12</v>
      </c>
      <c r="E185" s="6" t="s">
        <v>13</v>
      </c>
      <c r="F185" s="6" t="s">
        <v>14</v>
      </c>
      <c r="G185" s="6" t="s">
        <v>15</v>
      </c>
      <c r="H185" s="6" t="s">
        <v>16</v>
      </c>
      <c r="I185" s="6" t="s">
        <v>17</v>
      </c>
      <c r="J185" s="6" t="s">
        <v>18</v>
      </c>
      <c r="K185" s="1"/>
    </row>
    <row r="186" ht="15.75" customHeight="1" spans="1:11">
      <c r="A186" s="7">
        <v>121</v>
      </c>
      <c r="B186" s="8" t="s">
        <v>154</v>
      </c>
      <c r="C186" s="9">
        <v>20241440673</v>
      </c>
      <c r="D186" s="7" t="str">
        <f>IF(D11="","",IF(H186="","",D11))</f>
        <v/>
      </c>
      <c r="E186" s="7"/>
      <c r="F186" s="7"/>
      <c r="G186" s="7"/>
      <c r="H186" s="10" t="str">
        <f>IF(AND(E186="",F186="",G186=""),"",IF(SUM(E186:G186)&gt;100,"ERROR",IF(AND(E10="TEST",SUM(E186:G186)&lt;=100),SUM(E186:G186),IF(AND(E10="*TEST",F186="",E186&lt;=30,G186&lt;=70),SUM(E186:G186),IF(AND(E10="*TEST",F186&lt;=20,E186&lt;=20,G186&lt;=60),SUM(E186:G186),IF(AND(E10="*TEST",F186="-",E186&lt;=20,G186&lt;=60),SUM(E186:G186),"ERROR"))))))</f>
        <v/>
      </c>
      <c r="I186" s="7" t="str">
        <f>IF(H186="ERROR","ERROR",IF(H186="","",IF(AND(F10="*LAB",F186="-"),"F",IF(H186&gt;69.5,"A",IF(H186&gt;59.5,"B",IF(H186&gt;49.5,"C",IF(AND(D10="*PROGRAM",H186&lt;49.5),"F",IF(H186&gt;44.5,"D",IF(H186&gt;39.5,"E","F")))))))))</f>
        <v/>
      </c>
      <c r="J186" s="7" t="str">
        <f t="shared" ref="J186:J225" si="9">IF(H186="ERROR","ERROR",IF(I186="","",IF(I186="F","FAIL","PASS")))</f>
        <v/>
      </c>
      <c r="K186" s="1"/>
    </row>
    <row r="187" ht="15.75" customHeight="1" spans="1:11">
      <c r="A187" s="7">
        <v>122</v>
      </c>
      <c r="B187" s="8" t="s">
        <v>155</v>
      </c>
      <c r="C187" s="9">
        <v>20241425473</v>
      </c>
      <c r="D187" s="7" t="str">
        <f>IF(D11="","",IF(H187="","",D11))</f>
        <v/>
      </c>
      <c r="E187" s="7"/>
      <c r="F187" s="7"/>
      <c r="G187" s="7"/>
      <c r="H187" s="10" t="str">
        <f>IF(AND(E187="",F187="",G187=""),"",IF(SUM(E187:G187)&gt;100,"ERROR",IF(AND(E10="TEST",SUM(E187:G187)&lt;=100),SUM(E187:G187),IF(AND(E10="*TEST",F187="",E187&lt;=30,G187&lt;=70),SUM(E187:G187),IF(AND(E10="*TEST",F187&lt;=20,E187&lt;=20,G187&lt;=60),SUM(E187:G187),IF(AND(E10="*TEST",F187="-",E187&lt;=20,G187&lt;=60),SUM(E187:G187),"ERROR"))))))</f>
        <v/>
      </c>
      <c r="I187" s="7" t="str">
        <f>IF(H187="ERROR","ERROR",IF(H187="","",IF(AND(F10="*LAB",F187="-"),"F",IF(H187&gt;69.5,"A",IF(H187&gt;59.5,"B",IF(H187&gt;49.5,"C",IF(AND(D10="*PROGRAM",H187&lt;49.5),"F",IF(H187&gt;44.5,"D",IF(H187&gt;39.5,"E","F")))))))))</f>
        <v/>
      </c>
      <c r="J187" s="7" t="str">
        <f t="shared" si="9"/>
        <v/>
      </c>
      <c r="K187" s="1"/>
    </row>
    <row r="188" ht="15.75" customHeight="1" spans="1:11">
      <c r="A188" s="7">
        <v>123</v>
      </c>
      <c r="B188" s="8" t="s">
        <v>156</v>
      </c>
      <c r="C188" s="9">
        <v>20241446703</v>
      </c>
      <c r="D188" s="7" t="str">
        <f>IF(D11="","",IF(H188="","",D11))</f>
        <v/>
      </c>
      <c r="E188" s="7"/>
      <c r="F188" s="7"/>
      <c r="G188" s="7"/>
      <c r="H188" s="10" t="str">
        <f>IF(AND(E188="",F188="",G188=""),"",IF(SUM(E188:G188)&gt;100,"ERROR",IF(AND(E10="TEST",SUM(E188:G188)&lt;=100),SUM(E188:G188),IF(AND(E10="*TEST",F188="",E188&lt;=30,G188&lt;=70),SUM(E188:G188),IF(AND(E10="*TEST",F188&lt;=20,E188&lt;=20,G188&lt;=60),SUM(E188:G188),IF(AND(E10="*TEST",F188="-",E188&lt;=20,G188&lt;=60),SUM(E188:G188),"ERROR"))))))</f>
        <v/>
      </c>
      <c r="I188" s="7" t="str">
        <f>IF(H188="ERROR","ERROR",IF(H188="","",IF(AND(F10="*LAB",F188="-"),"F",IF(H188&gt;69.5,"A",IF(H188&gt;59.5,"B",IF(H188&gt;49.5,"C",IF(AND(D10="*PROGRAM",H188&lt;49.5),"F",IF(H188&gt;44.5,"D",IF(H188&gt;39.5,"E","F")))))))))</f>
        <v/>
      </c>
      <c r="J188" s="7" t="str">
        <f t="shared" si="9"/>
        <v/>
      </c>
      <c r="K188" s="1"/>
    </row>
    <row r="189" ht="15.75" customHeight="1" spans="1:11">
      <c r="A189" s="7">
        <v>124</v>
      </c>
      <c r="B189" s="8" t="s">
        <v>157</v>
      </c>
      <c r="C189" s="9">
        <v>20241449063</v>
      </c>
      <c r="D189" s="7" t="str">
        <f>IF(D11="","",IF(H189="","",D11))</f>
        <v/>
      </c>
      <c r="E189" s="7"/>
      <c r="F189" s="7"/>
      <c r="G189" s="7"/>
      <c r="H189" s="10" t="str">
        <f>IF(AND(E189="",F189="",G189=""),"",IF(SUM(E189:G189)&gt;100,"ERROR",IF(AND(E10="TEST",SUM(E189:G189)&lt;=100),SUM(E189:G189),IF(AND(E10="*TEST",F189="",E189&lt;=30,G189&lt;=70),SUM(E189:G189),IF(AND(E10="*TEST",F189&lt;=20,E189&lt;=20,G189&lt;=60),SUM(E189:G189),IF(AND(E10="*TEST",F189="-",E189&lt;=20,G189&lt;=60),SUM(E189:G189),"ERROR"))))))</f>
        <v/>
      </c>
      <c r="I189" s="7" t="str">
        <f>IF(H189="ERROR","ERROR",IF(H189="","",IF(AND(F10="*LAB",F189="-"),"F",IF(H189&gt;69.5,"A",IF(H189&gt;59.5,"B",IF(H189&gt;49.5,"C",IF(AND(D10="*PROGRAM",H189&lt;49.5),"F",IF(H189&gt;44.5,"D",IF(H189&gt;39.5,"E","F")))))))))</f>
        <v/>
      </c>
      <c r="J189" s="7" t="str">
        <f t="shared" si="9"/>
        <v/>
      </c>
      <c r="K189" s="1"/>
    </row>
    <row r="190" ht="15.75" customHeight="1" spans="1:11">
      <c r="A190" s="7">
        <v>125</v>
      </c>
      <c r="B190" s="8" t="s">
        <v>158</v>
      </c>
      <c r="C190" s="9">
        <v>2024405267</v>
      </c>
      <c r="D190" s="7" t="str">
        <f>IF(D11="","",IF(H190="","",D11))</f>
        <v/>
      </c>
      <c r="E190" s="7"/>
      <c r="F190" s="7"/>
      <c r="G190" s="7"/>
      <c r="H190" s="10" t="str">
        <f>IF(AND(E190="",F190="",G190=""),"",IF(SUM(E190:G190)&gt;100,"ERROR",IF(AND(E10="TEST",SUM(E190:G190)&lt;=100),SUM(E190:G190),IF(AND(E10="*TEST",F190="",E190&lt;=30,G190&lt;=70),SUM(E190:G190),IF(AND(E10="*TEST",F190&lt;=20,E190&lt;=20,G190&lt;=60),SUM(E190:G190),IF(AND(E10="*TEST",F190="-",E190&lt;=20,G190&lt;=60),SUM(E190:G190),"ERROR"))))))</f>
        <v/>
      </c>
      <c r="I190" s="7" t="str">
        <f>IF(H190="ERROR","ERROR",IF(H190="","",IF(AND(F10="*LAB",F190="-"),"F",IF(H190&gt;69.5,"A",IF(H190&gt;59.5,"B",IF(H190&gt;49.5,"C",IF(AND(D10="*PROGRAM",H190&lt;49.5),"F",IF(H190&gt;44.5,"D",IF(H190&gt;39.5,"E","F")))))))))</f>
        <v/>
      </c>
      <c r="J190" s="7" t="str">
        <f t="shared" si="9"/>
        <v/>
      </c>
      <c r="K190" s="1"/>
    </row>
    <row r="191" ht="15.75" customHeight="1" spans="1:11">
      <c r="A191" s="7">
        <v>126</v>
      </c>
      <c r="B191" s="8" t="s">
        <v>159</v>
      </c>
      <c r="C191" s="9">
        <v>20241454473</v>
      </c>
      <c r="D191" s="7" t="str">
        <f>IF(D11="","",IF(H191="","",D11))</f>
        <v/>
      </c>
      <c r="E191" s="7"/>
      <c r="F191" s="7"/>
      <c r="G191" s="7"/>
      <c r="H191" s="10" t="str">
        <f>IF(AND(E191="",F191="",G191=""),"",IF(SUM(E191:G191)&gt;100,"ERROR",IF(AND(E10="TEST",SUM(E191:G191)&lt;=100),SUM(E191:G191),IF(AND(E10="*TEST",F191="",E191&lt;=30,G191&lt;=70),SUM(E191:G191),IF(AND(E10="*TEST",F191&lt;=20,E191&lt;=20,G191&lt;=60),SUM(E191:G191),IF(AND(E10="*TEST",F191="-",E191&lt;=20,G191&lt;=60),SUM(E191:G191),"ERROR"))))))</f>
        <v/>
      </c>
      <c r="I191" s="7" t="str">
        <f>IF(H191="ERROR","ERROR",IF(H191="","",IF(AND(F10="*LAB",F191="-"),"F",IF(H191&gt;69.5,"A",IF(H191&gt;59.5,"B",IF(H191&gt;49.5,"C",IF(AND(D10="*PROGRAM",H191&lt;49.5),"F",IF(H191&gt;44.5,"D",IF(H191&gt;39.5,"E","F")))))))))</f>
        <v/>
      </c>
      <c r="J191" s="7" t="str">
        <f t="shared" si="9"/>
        <v/>
      </c>
      <c r="K191" s="1"/>
    </row>
    <row r="192" ht="15.75" customHeight="1" spans="1:11">
      <c r="A192" s="7">
        <v>127</v>
      </c>
      <c r="B192" s="8" t="s">
        <v>160</v>
      </c>
      <c r="C192" s="9">
        <v>20241451523</v>
      </c>
      <c r="D192" s="7" t="str">
        <f>IF(D11="","",IF(H192="","",D11))</f>
        <v/>
      </c>
      <c r="E192" s="7"/>
      <c r="F192" s="7"/>
      <c r="G192" s="7"/>
      <c r="H192" s="10" t="str">
        <f>IF(AND(E192="",F192="",G192=""),"",IF(SUM(E192:G192)&gt;100,"ERROR",IF(AND(E10="TEST",SUM(E192:G192)&lt;=100),SUM(E192:G192),IF(AND(E10="*TEST",F192="",E192&lt;=30,G192&lt;=70),SUM(E192:G192),IF(AND(E10="*TEST",F192&lt;=20,E192&lt;=20,G192&lt;=60),SUM(E192:G192),IF(AND(E10="*TEST",F192="-",E192&lt;=20,G192&lt;=60),SUM(E192:G192),"ERROR"))))))</f>
        <v/>
      </c>
      <c r="I192" s="7" t="str">
        <f>IF(H192="ERROR","ERROR",IF(H192="","",IF(AND(F10="*LAB",F192="-"),"F",IF(H192&gt;69.5,"A",IF(H192&gt;59.5,"B",IF(H192&gt;49.5,"C",IF(AND(D10="*PROGRAM",H192&lt;49.5),"F",IF(H192&gt;44.5,"D",IF(H192&gt;39.5,"E","F")))))))))</f>
        <v/>
      </c>
      <c r="J192" s="7" t="str">
        <f t="shared" si="9"/>
        <v/>
      </c>
      <c r="K192" s="1"/>
    </row>
    <row r="193" ht="15.75" customHeight="1" spans="1:11">
      <c r="A193" s="7">
        <v>128</v>
      </c>
      <c r="B193" s="8" t="s">
        <v>161</v>
      </c>
      <c r="C193" s="9">
        <v>20241442423</v>
      </c>
      <c r="D193" s="7" t="str">
        <f>IF(D11="","",IF(H193="","",D11))</f>
        <v/>
      </c>
      <c r="E193" s="7"/>
      <c r="F193" s="7"/>
      <c r="G193" s="7"/>
      <c r="H193" s="10" t="str">
        <f>IF(AND(E193="",F193="",G193=""),"",IF(SUM(E193:G193)&gt;100,"ERROR",IF(AND(E10="TEST",SUM(E193:G193)&lt;=100),SUM(E193:G193),IF(AND(E10="*TEST",F193="",E193&lt;=30,G193&lt;=70),SUM(E193:G193),IF(AND(E10="*TEST",F193&lt;=20,E193&lt;=20,G193&lt;=60),SUM(E193:G193),IF(AND(E10="*TEST",F193="-",E193&lt;=20,G193&lt;=60),SUM(E193:G193),"ERROR"))))))</f>
        <v/>
      </c>
      <c r="I193" s="7" t="str">
        <f>IF(H193="ERROR","ERROR",IF(H193="","",IF(AND(F10="*LAB",F193="-"),"F",IF(H193&gt;69.5,"A",IF(H193&gt;59.5,"B",IF(H193&gt;49.5,"C",IF(AND(D10="*PROGRAM",H193&lt;49.5),"F",IF(H193&gt;44.5,"D",IF(H193&gt;39.5,"E","F")))))))))</f>
        <v/>
      </c>
      <c r="J193" s="7" t="str">
        <f t="shared" si="9"/>
        <v/>
      </c>
      <c r="K193" s="1"/>
    </row>
    <row r="194" ht="15.75" customHeight="1" spans="1:11">
      <c r="A194" s="7">
        <v>129</v>
      </c>
      <c r="B194" s="8" t="s">
        <v>162</v>
      </c>
      <c r="C194" s="9">
        <v>20241495733</v>
      </c>
      <c r="D194" s="7" t="str">
        <f>IF(D11="","",IF(H194="","",D11))</f>
        <v/>
      </c>
      <c r="E194" s="7"/>
      <c r="F194" s="7"/>
      <c r="G194" s="7"/>
      <c r="H194" s="10" t="str">
        <f>IF(AND(E194="",F194="",G194=""),"",IF(SUM(E194:G194)&gt;100,"ERROR",IF(AND(E10="TEST",SUM(E194:G194)&lt;=100),SUM(E194:G194),IF(AND(E10="*TEST",F194="",E194&lt;=30,G194&lt;=70),SUM(E194:G194),IF(AND(E10="*TEST",F194&lt;=20,E194&lt;=20,G194&lt;=60),SUM(E194:G194),IF(AND(E10="*TEST",F194="-",E194&lt;=20,G194&lt;=60),SUM(E194:G194),"ERROR"))))))</f>
        <v/>
      </c>
      <c r="I194" s="7" t="str">
        <f>IF(H194="ERROR","ERROR",IF(H194="","",IF(AND(F10="*LAB",F194="-"),"F",IF(H194&gt;69.5,"A",IF(H194&gt;59.5,"B",IF(H194&gt;49.5,"C",IF(AND(D10="*PROGRAM",H194&lt;49.5),"F",IF(H194&gt;44.5,"D",IF(H194&gt;39.5,"E","F")))))))))</f>
        <v/>
      </c>
      <c r="J194" s="7" t="str">
        <f t="shared" si="9"/>
        <v/>
      </c>
      <c r="K194" s="1"/>
    </row>
    <row r="195" ht="15.75" customHeight="1" spans="1:11">
      <c r="A195" s="7">
        <v>130</v>
      </c>
      <c r="B195" s="8" t="s">
        <v>163</v>
      </c>
      <c r="C195" s="9">
        <v>20241429857</v>
      </c>
      <c r="D195" s="7" t="str">
        <f>IF(D11="","",IF(H195="","",D11))</f>
        <v/>
      </c>
      <c r="E195" s="7"/>
      <c r="F195" s="7"/>
      <c r="G195" s="7"/>
      <c r="H195" s="10" t="str">
        <f>IF(AND(E195="",F195="",G195=""),"",IF(SUM(E195:G195)&gt;100,"ERROR",IF(AND(E10="TEST",SUM(E195:G195)&lt;=100),SUM(E195:G195),IF(AND(E10="*TEST",F195="",E195&lt;=30,G195&lt;=70),SUM(E195:G195),IF(AND(E10="*TEST",F195&lt;=20,E195&lt;=20,G195&lt;=60),SUM(E195:G195),IF(AND(E10="*TEST",F195="-",E195&lt;=20,G195&lt;=60),SUM(E195:G195),"ERROR"))))))</f>
        <v/>
      </c>
      <c r="I195" s="7" t="str">
        <f>IF(H195="ERROR","ERROR",IF(H195="","",IF(AND(F10="*LAB",F195="-"),"F",IF(H195&gt;69.5,"A",IF(H195&gt;59.5,"B",IF(H195&gt;49.5,"C",IF(AND(D10="*PROGRAM",H195&lt;49.5),"F",IF(H195&gt;44.5,"D",IF(H195&gt;39.5,"E","F")))))))))</f>
        <v/>
      </c>
      <c r="J195" s="7" t="str">
        <f t="shared" si="9"/>
        <v/>
      </c>
      <c r="K195" s="1"/>
    </row>
    <row r="196" ht="15.75" customHeight="1" spans="1:11">
      <c r="A196" s="7">
        <v>131</v>
      </c>
      <c r="B196" s="8" t="s">
        <v>164</v>
      </c>
      <c r="C196" s="9">
        <v>20252538093</v>
      </c>
      <c r="D196" s="7" t="str">
        <f>IF(D11="","",IF(H196="","",D11))</f>
        <v/>
      </c>
      <c r="E196" s="7"/>
      <c r="F196" s="7"/>
      <c r="G196" s="7"/>
      <c r="H196" s="10" t="str">
        <f>IF(AND(E196="",F196="",G196=""),"",IF(SUM(E196:G196)&gt;100,"ERROR",IF(AND(E10="TEST",SUM(E196:G196)&lt;=100),SUM(E196:G196),IF(AND(E10="*TEST",F196="",E196&lt;=30,G196&lt;=70),SUM(E196:G196),IF(AND(E10="*TEST",F196&lt;=20,E196&lt;=20,G196&lt;=60),SUM(E196:G196),IF(AND(E10="*TEST",F196="-",E196&lt;=20,G196&lt;=60),SUM(E196:G196),"ERROR"))))))</f>
        <v/>
      </c>
      <c r="I196" s="7" t="str">
        <f>IF(H196="ERROR","ERROR",IF(H196="","",IF(AND(F10="*LAB",F196="-"),"F",IF(H196&gt;69.5,"A",IF(H196&gt;59.5,"B",IF(H196&gt;49.5,"C",IF(AND(D10="*PROGRAM",H196&lt;49.5),"F",IF(H196&gt;44.5,"D",IF(H196&gt;39.5,"E","F")))))))))</f>
        <v/>
      </c>
      <c r="J196" s="7" t="str">
        <f t="shared" si="9"/>
        <v/>
      </c>
      <c r="K196" s="1"/>
    </row>
    <row r="197" ht="15.75" customHeight="1" spans="1:11">
      <c r="A197" s="7">
        <v>132</v>
      </c>
      <c r="B197" s="8" t="s">
        <v>165</v>
      </c>
      <c r="C197" s="9">
        <v>20241449483</v>
      </c>
      <c r="D197" s="7" t="str">
        <f>IF(D11="","",IF(H197="","",D11))</f>
        <v/>
      </c>
      <c r="E197" s="7"/>
      <c r="F197" s="7"/>
      <c r="G197" s="7"/>
      <c r="H197" s="10" t="str">
        <f>IF(AND(E197="",F197="",G197=""),"",IF(SUM(E197:G197)&gt;100,"ERROR",IF(AND(E10="TEST",SUM(E197:G197)&lt;=100),SUM(E197:G197),IF(AND(E10="*TEST",F197="",E197&lt;=30,G197&lt;=70),SUM(E197:G197),IF(AND(E10="*TEST",F197&lt;=20,E197&lt;=20,G197&lt;=60),SUM(E197:G197),IF(AND(E10="*TEST",F197="-",E197&lt;=20,G197&lt;=60),SUM(E197:G197),"ERROR"))))))</f>
        <v/>
      </c>
      <c r="I197" s="7" t="str">
        <f>IF(H197="ERROR","ERROR",IF(H197="","",IF(AND(F10="*LAB",F197="-"),"F",IF(H197&gt;69.5,"A",IF(H197&gt;59.5,"B",IF(H197&gt;49.5,"C",IF(AND(D10="*PROGRAM",H197&lt;49.5),"F",IF(H197&gt;44.5,"D",IF(H197&gt;39.5,"E","F")))))))))</f>
        <v/>
      </c>
      <c r="J197" s="7" t="str">
        <f t="shared" si="9"/>
        <v/>
      </c>
      <c r="K197" s="1"/>
    </row>
    <row r="198" ht="15.75" customHeight="1" spans="1:11">
      <c r="A198" s="7">
        <v>133</v>
      </c>
      <c r="B198" s="8" t="s">
        <v>166</v>
      </c>
      <c r="C198" s="9">
        <v>20241435853</v>
      </c>
      <c r="D198" s="7" t="str">
        <f>IF(D11="","",IF(H198="","",D11))</f>
        <v/>
      </c>
      <c r="E198" s="7"/>
      <c r="F198" s="7"/>
      <c r="G198" s="7"/>
      <c r="H198" s="10" t="str">
        <f>IF(AND(E198="",F198="",G198=""),"",IF(SUM(E198:G198)&gt;100,"ERROR",IF(AND(E10="TEST",SUM(E198:G198)&lt;=100),SUM(E198:G198),IF(AND(E10="*TEST",F198="",E198&lt;=30,G198&lt;=70),SUM(E198:G198),IF(AND(E10="*TEST",F198&lt;=20,E198&lt;=20,G198&lt;=60),SUM(E198:G198),IF(AND(E10="*TEST",F198="-",E198&lt;=20,G198&lt;=60),SUM(E198:G198),"ERROR"))))))</f>
        <v/>
      </c>
      <c r="I198" s="7" t="str">
        <f>IF(H198="ERROR","ERROR",IF(H198="","",IF(AND(F10="*LAB",F198="-"),"F",IF(H198&gt;69.5,"A",IF(H198&gt;59.5,"B",IF(H198&gt;49.5,"C",IF(AND(D10="*PROGRAM",H198&lt;49.5),"F",IF(H198&gt;44.5,"D",IF(H198&gt;39.5,"E","F")))))))))</f>
        <v/>
      </c>
      <c r="J198" s="7" t="str">
        <f t="shared" si="9"/>
        <v/>
      </c>
      <c r="K198" s="1"/>
    </row>
    <row r="199" ht="15.75" customHeight="1" spans="1:11">
      <c r="A199" s="7">
        <v>134</v>
      </c>
      <c r="B199" s="8" t="s">
        <v>167</v>
      </c>
      <c r="C199" s="9">
        <v>20241427453</v>
      </c>
      <c r="D199" s="7" t="str">
        <f>IF(D11="","",IF(H199="","",D11))</f>
        <v/>
      </c>
      <c r="E199" s="7"/>
      <c r="F199" s="7"/>
      <c r="G199" s="7"/>
      <c r="H199" s="10" t="str">
        <f>IF(AND(E199="",F199="",G199=""),"",IF(SUM(E199:G199)&gt;100,"ERROR",IF(AND(E10="TEST",SUM(E199:G199)&lt;=100),SUM(E199:G199),IF(AND(E10="*TEST",F199="",E199&lt;=30,G199&lt;=70),SUM(E199:G199),IF(AND(E10="*TEST",F199&lt;=20,E199&lt;=20,G199&lt;=60),SUM(E199:G199),IF(AND(E10="*TEST",F199="-",E199&lt;=20,G199&lt;=60),SUM(E199:G199),"ERROR"))))))</f>
        <v/>
      </c>
      <c r="I199" s="7" t="str">
        <f>IF(H199="ERROR","ERROR",IF(H199="","",IF(AND(F10="*LAB",F199="-"),"F",IF(H199&gt;69.5,"A",IF(H199&gt;59.5,"B",IF(H199&gt;49.5,"C",IF(AND(D10="*PROGRAM",H199&lt;49.5),"F",IF(H199&gt;44.5,"D",IF(H199&gt;39.5,"E","F")))))))))</f>
        <v/>
      </c>
      <c r="J199" s="7" t="str">
        <f t="shared" si="9"/>
        <v/>
      </c>
      <c r="K199" s="1"/>
    </row>
    <row r="200" ht="15.75" customHeight="1" spans="1:11">
      <c r="A200" s="7">
        <v>135</v>
      </c>
      <c r="B200" s="8" t="s">
        <v>168</v>
      </c>
      <c r="C200" s="9">
        <v>20241430403</v>
      </c>
      <c r="D200" s="7" t="str">
        <f>IF(D11="","",IF(H200="","",D11))</f>
        <v/>
      </c>
      <c r="E200" s="7"/>
      <c r="F200" s="7"/>
      <c r="G200" s="7"/>
      <c r="H200" s="10" t="str">
        <f>IF(AND(E200="",F200="",G200=""),"",IF(SUM(E200:G200)&gt;100,"ERROR",IF(AND(E10="TEST",SUM(E200:G200)&lt;=100),SUM(E200:G200),IF(AND(E10="*TEST",F200="",E200&lt;=30,G200&lt;=70),SUM(E200:G200),IF(AND(E10="*TEST",F200&lt;=20,E200&lt;=20,G200&lt;=60),SUM(E200:G200),IF(AND(E10="*TEST",F200="-",E200&lt;=20,G200&lt;=60),SUM(E200:G200),"ERROR"))))))</f>
        <v/>
      </c>
      <c r="I200" s="7" t="str">
        <f>IF(H200="ERROR","ERROR",IF(H200="","",IF(AND(F10="*LAB",F200="-"),"F",IF(H200&gt;69.5,"A",IF(H200&gt;59.5,"B",IF(H200&gt;49.5,"C",IF(AND(D10="*PROGRAM",H200&lt;49.5),"F",IF(H200&gt;44.5,"D",IF(H200&gt;39.5,"E","F")))))))))</f>
        <v/>
      </c>
      <c r="J200" s="7" t="str">
        <f t="shared" si="9"/>
        <v/>
      </c>
      <c r="K200" s="1"/>
    </row>
    <row r="201" ht="15.75" customHeight="1" spans="1:11">
      <c r="A201" s="7">
        <v>136</v>
      </c>
      <c r="B201" s="8" t="s">
        <v>169</v>
      </c>
      <c r="C201" s="9">
        <v>20241447703</v>
      </c>
      <c r="D201" s="7" t="str">
        <f>IF(D11="","",IF(H201="","",D11))</f>
        <v/>
      </c>
      <c r="E201" s="7"/>
      <c r="F201" s="7"/>
      <c r="G201" s="7"/>
      <c r="H201" s="10" t="str">
        <f>IF(AND(E201="",F201="",G201=""),"",IF(SUM(E201:G201)&gt;100,"ERROR",IF(AND(E10="TEST",SUM(E201:G201)&lt;=100),SUM(E201:G201),IF(AND(E10="*TEST",F201="",E201&lt;=30,G201&lt;=70),SUM(E201:G201),IF(AND(E10="*TEST",F201&lt;=20,E201&lt;=20,G201&lt;=60),SUM(E201:G201),IF(AND(E10="*TEST",F201="-",E201&lt;=20,G201&lt;=60),SUM(E201:G201),"ERROR"))))))</f>
        <v/>
      </c>
      <c r="I201" s="7" t="str">
        <f>IF(H201="ERROR","ERROR",IF(H201="","",IF(AND(F10="*LAB",F201="-"),"F",IF(H201&gt;69.5,"A",IF(H201&gt;59.5,"B",IF(H201&gt;49.5,"C",IF(AND(D10="*PROGRAM",H201&lt;49.5),"F",IF(H201&gt;44.5,"D",IF(H201&gt;39.5,"E","F")))))))))</f>
        <v/>
      </c>
      <c r="J201" s="7" t="str">
        <f t="shared" si="9"/>
        <v/>
      </c>
      <c r="K201" s="1"/>
    </row>
    <row r="202" ht="15.75" customHeight="1" spans="1:11">
      <c r="A202" s="7">
        <v>137</v>
      </c>
      <c r="B202" s="8" t="s">
        <v>170</v>
      </c>
      <c r="C202" s="9">
        <v>20241475653</v>
      </c>
      <c r="D202" s="7" t="str">
        <f>IF(D11="","",IF(H202="","",D11))</f>
        <v/>
      </c>
      <c r="E202" s="7"/>
      <c r="F202" s="7"/>
      <c r="G202" s="7"/>
      <c r="H202" s="10" t="str">
        <f>IF(AND(E202="",F202="",G202=""),"",IF(SUM(E202:G202)&gt;100,"ERROR",IF(AND(E10="TEST",SUM(E202:G202)&lt;=100),SUM(E202:G202),IF(AND(E10="*TEST",F202="",E202&lt;=30,G202&lt;=70),SUM(E202:G202),IF(AND(E10="*TEST",F202&lt;=20,E202&lt;=20,G202&lt;=60),SUM(E202:G202),IF(AND(E10="*TEST",F202="-",E202&lt;=20,G202&lt;=60),SUM(E202:G202),"ERROR"))))))</f>
        <v/>
      </c>
      <c r="I202" s="7" t="str">
        <f>IF(H202="ERROR","ERROR",IF(H202="","",IF(AND(F10="*LAB",F202="-"),"F",IF(H202&gt;69.5,"A",IF(H202&gt;59.5,"B",IF(H202&gt;49.5,"C",IF(AND(D10="*PROGRAM",H202&lt;49.5),"F",IF(H202&gt;44.5,"D",IF(H202&gt;39.5,"E","F")))))))))</f>
        <v/>
      </c>
      <c r="J202" s="7" t="str">
        <f t="shared" si="9"/>
        <v/>
      </c>
      <c r="K202" s="1"/>
    </row>
    <row r="203" ht="15.75" customHeight="1" spans="1:11">
      <c r="A203" s="7">
        <v>138</v>
      </c>
      <c r="B203" s="8" t="s">
        <v>171</v>
      </c>
      <c r="C203" s="9">
        <v>20241450993</v>
      </c>
      <c r="D203" s="7" t="str">
        <f>IF(D11="","",IF(H203="","",D11))</f>
        <v/>
      </c>
      <c r="E203" s="7"/>
      <c r="F203" s="7"/>
      <c r="G203" s="7"/>
      <c r="H203" s="10" t="str">
        <f>IF(AND(E203="",F203="",G203=""),"",IF(SUM(E203:G203)&gt;100,"ERROR",IF(AND(E10="TEST",SUM(E203:G203)&lt;=100),SUM(E203:G203),IF(AND(E10="*TEST",F203="",E203&lt;=30,G203&lt;=70),SUM(E203:G203),IF(AND(E10="*TEST",F203&lt;=20,E203&lt;=20,G203&lt;=60),SUM(E203:G203),IF(AND(E10="*TEST",F203="-",E203&lt;=20,G203&lt;=60),SUM(E203:G203),"ERROR"))))))</f>
        <v/>
      </c>
      <c r="I203" s="7" t="str">
        <f>IF(H203="ERROR","ERROR",IF(H203="","",IF(AND(F10="*LAB",F203="-"),"F",IF(H203&gt;69.5,"A",IF(H203&gt;59.5,"B",IF(H203&gt;49.5,"C",IF(AND(D10="*PROGRAM",H203&lt;49.5),"F",IF(H203&gt;44.5,"D",IF(H203&gt;39.5,"E","F")))))))))</f>
        <v/>
      </c>
      <c r="J203" s="7" t="str">
        <f t="shared" si="9"/>
        <v/>
      </c>
      <c r="K203" s="1"/>
    </row>
    <row r="204" ht="15.75" customHeight="1" spans="1:11">
      <c r="A204" s="7">
        <v>139</v>
      </c>
      <c r="B204" s="8" t="s">
        <v>172</v>
      </c>
      <c r="C204" s="9">
        <v>20241457083</v>
      </c>
      <c r="D204" s="7" t="str">
        <f>IF(D11="","",IF(H204="","",D11))</f>
        <v/>
      </c>
      <c r="E204" s="7"/>
      <c r="F204" s="7"/>
      <c r="G204" s="7"/>
      <c r="H204" s="10" t="str">
        <f>IF(AND(E204="",F204="",G204=""),"",IF(SUM(E204:G204)&gt;100,"ERROR",IF(AND(E10="TEST",SUM(E204:G204)&lt;=100),SUM(E204:G204),IF(AND(E10="*TEST",F204="",E204&lt;=30,G204&lt;=70),SUM(E204:G204),IF(AND(E10="*TEST",F204&lt;=20,E204&lt;=20,G204&lt;=60),SUM(E204:G204),IF(AND(E10="*TEST",F204="-",E204&lt;=20,G204&lt;=60),SUM(E204:G204),"ERROR"))))))</f>
        <v/>
      </c>
      <c r="I204" s="7" t="str">
        <f>IF(H204="ERROR","ERROR",IF(H204="","",IF(AND(F10="*LAB",F204="-"),"F",IF(H204&gt;69.5,"A",IF(H204&gt;59.5,"B",IF(H204&gt;49.5,"C",IF(AND(D10="*PROGRAM",H204&lt;49.5),"F",IF(H204&gt;44.5,"D",IF(H204&gt;39.5,"E","F")))))))))</f>
        <v/>
      </c>
      <c r="J204" s="7" t="str">
        <f t="shared" si="9"/>
        <v/>
      </c>
      <c r="K204" s="1"/>
    </row>
    <row r="205" ht="15.75" customHeight="1" spans="1:11">
      <c r="A205" s="7">
        <v>140</v>
      </c>
      <c r="B205" s="8" t="s">
        <v>173</v>
      </c>
      <c r="C205" s="9">
        <v>20241490073</v>
      </c>
      <c r="D205" s="7" t="str">
        <f>IF(D11="","",IF(H205="","",D11))</f>
        <v/>
      </c>
      <c r="E205" s="7"/>
      <c r="F205" s="7"/>
      <c r="G205" s="7"/>
      <c r="H205" s="10" t="str">
        <f>IF(AND(E205="",F205="",G205=""),"",IF(SUM(E205:G205)&gt;100,"ERROR",IF(AND(E10="TEST",SUM(E205:G205)&lt;=100),SUM(E205:G205),IF(AND(E10="*TEST",F205="",E205&lt;=30,G205&lt;=70),SUM(E205:G205),IF(AND(E10="*TEST",F205&lt;=20,E205&lt;=20,G205&lt;=60),SUM(E205:G205),IF(AND(E10="*TEST",F205="-",E205&lt;=20,G205&lt;=60),SUM(E205:G205),"ERROR"))))))</f>
        <v/>
      </c>
      <c r="I205" s="7" t="str">
        <f>IF(H205="ERROR","ERROR",IF(H205="","",IF(AND(F10="*LAB",F205="-"),"F",IF(H205&gt;69.5,"A",IF(H205&gt;59.5,"B",IF(H205&gt;49.5,"C",IF(AND(D10="*PROGRAM",H205&lt;49.5),"F",IF(H205&gt;44.5,"D",IF(H205&gt;39.5,"E","F")))))))))</f>
        <v/>
      </c>
      <c r="J205" s="7" t="str">
        <f t="shared" si="9"/>
        <v/>
      </c>
      <c r="K205" s="1"/>
    </row>
    <row r="206" ht="15.75" customHeight="1" spans="1:11">
      <c r="A206" s="7">
        <v>141</v>
      </c>
      <c r="B206" s="8" t="s">
        <v>174</v>
      </c>
      <c r="C206" s="9">
        <v>20241432073</v>
      </c>
      <c r="D206" s="7" t="str">
        <f>IF(D11="","",IF(H206="","",D11))</f>
        <v/>
      </c>
      <c r="E206" s="7"/>
      <c r="F206" s="7"/>
      <c r="G206" s="7"/>
      <c r="H206" s="10" t="str">
        <f>IF(AND(E206="",F206="",G206=""),"",IF(SUM(E206:G206)&gt;100,"ERROR",IF(AND(E10="TEST",SUM(E206:G206)&lt;=100),SUM(E206:G206),IF(AND(E10="*TEST",F206="",E206&lt;=30,G206&lt;=70),SUM(E206:G206),IF(AND(E10="*TEST",F206&lt;=20,E206&lt;=20,G206&lt;=60),SUM(E206:G206),IF(AND(E10="*TEST",F206="-",E206&lt;=20,G206&lt;=60),SUM(E206:G206),"ERROR"))))))</f>
        <v/>
      </c>
      <c r="I206" s="7" t="str">
        <f>IF(H206="ERROR","ERROR",IF(H206="","",IF(AND(F10="*LAB",F206="-"),"F",IF(H206&gt;69.5,"A",IF(H206&gt;59.5,"B",IF(H206&gt;49.5,"C",IF(AND(D10="*PROGRAM",H206&lt;49.5),"F",IF(H206&gt;44.5,"D",IF(H206&gt;39.5,"E","F")))))))))</f>
        <v/>
      </c>
      <c r="J206" s="7" t="str">
        <f t="shared" si="9"/>
        <v/>
      </c>
      <c r="K206" s="1"/>
    </row>
    <row r="207" ht="15.75" customHeight="1" spans="1:11">
      <c r="A207" s="7">
        <v>142</v>
      </c>
      <c r="B207" s="8" t="s">
        <v>175</v>
      </c>
      <c r="C207" s="9">
        <v>20241459113</v>
      </c>
      <c r="D207" s="7" t="str">
        <f>IF(D11="","",IF(H207="","",D11))</f>
        <v/>
      </c>
      <c r="E207" s="7"/>
      <c r="F207" s="7"/>
      <c r="G207" s="7"/>
      <c r="H207" s="10" t="str">
        <f>IF(AND(E207="",F207="",G207=""),"",IF(SUM(E207:G207)&gt;100,"ERROR",IF(AND(E10="TEST",SUM(E207:G207)&lt;=100),SUM(E207:G207),IF(AND(E10="*TEST",F207="",E207&lt;=30,G207&lt;=70),SUM(E207:G207),IF(AND(E10="*TEST",F207&lt;=20,E207&lt;=20,G207&lt;=60),SUM(E207:G207),IF(AND(E10="*TEST",F207="-",E207&lt;=20,G207&lt;=60),SUM(E207:G207),"ERROR"))))))</f>
        <v/>
      </c>
      <c r="I207" s="7" t="str">
        <f>IF(H207="ERROR","ERROR",IF(H207="","",IF(AND(F10="*LAB",F207="-"),"F",IF(H207&gt;69.5,"A",IF(H207&gt;59.5,"B",IF(H207&gt;49.5,"C",IF(AND(D10="*PROGRAM",H207&lt;49.5),"F",IF(H207&gt;44.5,"D",IF(H207&gt;39.5,"E","F")))))))))</f>
        <v/>
      </c>
      <c r="J207" s="7" t="str">
        <f t="shared" si="9"/>
        <v/>
      </c>
      <c r="K207" s="1"/>
    </row>
    <row r="208" ht="15.75" customHeight="1" spans="1:11">
      <c r="A208" s="7">
        <v>143</v>
      </c>
      <c r="B208" s="32"/>
      <c r="C208" s="33"/>
      <c r="D208" s="7" t="str">
        <f>IF(D11="","",IF(H208="","",D11))</f>
        <v/>
      </c>
      <c r="E208" s="7"/>
      <c r="F208" s="7"/>
      <c r="G208" s="7"/>
      <c r="H208" s="10" t="str">
        <f>IF(AND(E208="",F208="",G208=""),"",IF(SUM(E208:G208)&gt;100,"ERROR",IF(AND(E10="TEST",SUM(E208:G208)&lt;=100),SUM(E208:G208),IF(AND(E10="*TEST",F208="",E208&lt;=30,G208&lt;=70),SUM(E208:G208),IF(AND(E10="*TEST",F208&lt;=20,E208&lt;=20,G208&lt;=60),SUM(E208:G208),IF(AND(E10="*TEST",F208="-",E208&lt;=20,G208&lt;=60),SUM(E208:G208),"ERROR"))))))</f>
        <v/>
      </c>
      <c r="I208" s="7" t="str">
        <f>IF(H208="ERROR","ERROR",IF(H208="","",IF(AND(F10="*LAB",F208="-"),"F",IF(H208&gt;69.5,"A",IF(H208&gt;59.5,"B",IF(H208&gt;49.5,"C",IF(AND(D10="*PROGRAM",H208&lt;49.5),"F",IF(H208&gt;44.5,"D",IF(H208&gt;39.5,"E","F")))))))))</f>
        <v/>
      </c>
      <c r="J208" s="7" t="str">
        <f t="shared" si="9"/>
        <v/>
      </c>
      <c r="K208" s="1"/>
    </row>
    <row r="209" ht="15.75" customHeight="1" spans="1:11">
      <c r="A209" s="7">
        <v>144</v>
      </c>
      <c r="B209" s="32"/>
      <c r="C209" s="33"/>
      <c r="D209" s="7" t="str">
        <f>IF(D11="","",IF(H209="","",D11))</f>
        <v/>
      </c>
      <c r="E209" s="7"/>
      <c r="F209" s="7"/>
      <c r="G209" s="7"/>
      <c r="H209" s="10" t="str">
        <f>IF(AND(E209="",F209="",G209=""),"",IF(SUM(E209:G209)&gt;100,"ERROR",IF(AND(E10="TEST",SUM(E209:G209)&lt;=100),SUM(E209:G209),IF(AND(E10="*TEST",F209="",E209&lt;=30,G209&lt;=70),SUM(E209:G209),IF(AND(E10="*TEST",F209&lt;=20,E209&lt;=20,G209&lt;=60),SUM(E209:G209),IF(AND(E10="*TEST",F209="-",E209&lt;=20,G209&lt;=60),SUM(E209:G209),"ERROR"))))))</f>
        <v/>
      </c>
      <c r="I209" s="7" t="str">
        <f>IF(H209="ERROR","ERROR",IF(H209="","",IF(AND(F10="*LAB",F209="-"),"F",IF(H209&gt;69.5,"A",IF(H209&gt;59.5,"B",IF(H209&gt;49.5,"C",IF(AND(D10="*PROGRAM",H209&lt;49.5),"F",IF(H209&gt;44.5,"D",IF(H209&gt;39.5,"E","F")))))))))</f>
        <v/>
      </c>
      <c r="J209" s="7" t="str">
        <f t="shared" si="9"/>
        <v/>
      </c>
      <c r="K209" s="1"/>
    </row>
    <row r="210" ht="15.75" customHeight="1" spans="1:11">
      <c r="A210" s="7">
        <v>145</v>
      </c>
      <c r="B210" s="32"/>
      <c r="C210" s="33"/>
      <c r="D210" s="7" t="str">
        <f>IF(D11="","",IF(H210="","",D11))</f>
        <v/>
      </c>
      <c r="E210" s="7"/>
      <c r="F210" s="7"/>
      <c r="G210" s="7"/>
      <c r="H210" s="10" t="str">
        <f>IF(AND(E210="",F210="",G210=""),"",IF(SUM(E210:G210)&gt;100,"ERROR",IF(AND(E10="TEST",SUM(E210:G210)&lt;=100),SUM(E210:G210),IF(AND(E10="*TEST",F210="",E210&lt;=30,G210&lt;=70),SUM(E210:G210),IF(AND(E10="*TEST",F210&lt;=20,E210&lt;=20,G210&lt;=60),SUM(E210:G210),IF(AND(E10="*TEST",F210="-",E210&lt;=20,G210&lt;=60),SUM(E210:G210),"ERROR"))))))</f>
        <v/>
      </c>
      <c r="I210" s="7" t="str">
        <f>IF(H210="ERROR","ERROR",IF(H210="","",IF(AND(F10="*LAB",F210="-"),"F",IF(H210&gt;69.5,"A",IF(H210&gt;59.5,"B",IF(H210&gt;49.5,"C",IF(AND(D10="*PROGRAM",H210&lt;49.5),"F",IF(H210&gt;44.5,"D",IF(H210&gt;39.5,"E","F")))))))))</f>
        <v/>
      </c>
      <c r="J210" s="7" t="str">
        <f t="shared" si="9"/>
        <v/>
      </c>
      <c r="K210" s="1"/>
    </row>
    <row r="211" ht="15.75" customHeight="1" spans="1:11">
      <c r="A211" s="7">
        <v>146</v>
      </c>
      <c r="B211" s="32"/>
      <c r="C211" s="33"/>
      <c r="D211" s="7" t="str">
        <f>IF(D11="","",IF(H211="","",D11))</f>
        <v/>
      </c>
      <c r="E211" s="7"/>
      <c r="F211" s="7"/>
      <c r="G211" s="7"/>
      <c r="H211" s="10" t="str">
        <f>IF(AND(E211="",F211="",G211=""),"",IF(SUM(E211:G211)&gt;100,"ERROR",IF(AND(E10="TEST",SUM(E211:G211)&lt;=100),SUM(E211:G211),IF(AND(E10="*TEST",F211="",E211&lt;=30,G211&lt;=70),SUM(E211:G211),IF(AND(E10="*TEST",F211&lt;=20,E211&lt;=20,G211&lt;=60),SUM(E211:G211),IF(AND(E10="*TEST",F211="-",E211&lt;=20,G211&lt;=60),SUM(E211:G211),"ERROR"))))))</f>
        <v/>
      </c>
      <c r="I211" s="7" t="str">
        <f>IF(H211="ERROR","ERROR",IF(H211="","",IF(AND(F10="*LAB",F211="-"),"F",IF(H211&gt;69.5,"A",IF(H211&gt;59.5,"B",IF(H211&gt;49.5,"C",IF(AND(D10="*PROGRAM",H211&lt;49.5),"F",IF(H211&gt;44.5,"D",IF(H211&gt;39.5,"E","F")))))))))</f>
        <v/>
      </c>
      <c r="J211" s="7" t="str">
        <f t="shared" si="9"/>
        <v/>
      </c>
      <c r="K211" s="1"/>
    </row>
    <row r="212" ht="15.75" customHeight="1" spans="1:11">
      <c r="A212" s="7">
        <v>147</v>
      </c>
      <c r="B212" s="32"/>
      <c r="C212" s="33"/>
      <c r="D212" s="7" t="str">
        <f>IF(D11="","",IF(H212="","",D11))</f>
        <v/>
      </c>
      <c r="E212" s="7"/>
      <c r="F212" s="7"/>
      <c r="G212" s="7"/>
      <c r="H212" s="10" t="str">
        <f>IF(AND(E212="",F212="",G212=""),"",IF(SUM(E212:G212)&gt;100,"ERROR",IF(AND(E10="TEST",SUM(E212:G212)&lt;=100),SUM(E212:G212),IF(AND(E10="*TEST",F212="",E212&lt;=30,G212&lt;=70),SUM(E212:G212),IF(AND(E10="*TEST",F212&lt;=20,E212&lt;=20,G212&lt;=60),SUM(E212:G212),IF(AND(E10="*TEST",F212="-",E212&lt;=20,G212&lt;=60),SUM(E212:G212),"ERROR"))))))</f>
        <v/>
      </c>
      <c r="I212" s="7" t="str">
        <f>IF(H212="ERROR","ERROR",IF(H212="","",IF(AND(F10="*LAB",F212="-"),"F",IF(H212&gt;69.5,"A",IF(H212&gt;59.5,"B",IF(H212&gt;49.5,"C",IF(AND(D10="*PROGRAM",H212&lt;49.5),"F",IF(H212&gt;44.5,"D",IF(H212&gt;39.5,"E","F")))))))))</f>
        <v/>
      </c>
      <c r="J212" s="7" t="str">
        <f t="shared" si="9"/>
        <v/>
      </c>
      <c r="K212" s="1"/>
    </row>
    <row r="213" ht="15.75" customHeight="1" spans="1:11">
      <c r="A213" s="7">
        <v>148</v>
      </c>
      <c r="B213" s="32"/>
      <c r="C213" s="33"/>
      <c r="D213" s="7" t="str">
        <f>IF(D11="","",IF(H213="","",D11))</f>
        <v/>
      </c>
      <c r="E213" s="7"/>
      <c r="F213" s="7"/>
      <c r="G213" s="7"/>
      <c r="H213" s="10" t="str">
        <f>IF(AND(E213="",F213="",G213=""),"",IF(SUM(E213:G213)&gt;100,"ERROR",IF(AND(E10="TEST",SUM(E213:G213)&lt;=100),SUM(E213:G213),IF(AND(E10="*TEST",F213="",E213&lt;=30,G213&lt;=70),SUM(E213:G213),IF(AND(E10="*TEST",F213&lt;=20,E213&lt;=20,G213&lt;=60),SUM(E213:G213),IF(AND(E10="*TEST",F213="-",E213&lt;=20,G213&lt;=60),SUM(E213:G213),"ERROR"))))))</f>
        <v/>
      </c>
      <c r="I213" s="7" t="str">
        <f>IF(H213="ERROR","ERROR",IF(H213="","",IF(AND(F10="*LAB",F213="-"),"F",IF(H213&gt;69.5,"A",IF(H213&gt;59.5,"B",IF(H213&gt;49.5,"C",IF(AND(D10="*PROGRAM",H213&lt;49.5),"F",IF(H213&gt;44.5,"D",IF(H213&gt;39.5,"E","F")))))))))</f>
        <v/>
      </c>
      <c r="J213" s="7" t="str">
        <f t="shared" si="9"/>
        <v/>
      </c>
      <c r="K213" s="1"/>
    </row>
    <row r="214" ht="15.75" customHeight="1" spans="1:11">
      <c r="A214" s="7">
        <v>149</v>
      </c>
      <c r="B214" s="32"/>
      <c r="C214" s="33"/>
      <c r="D214" s="7" t="str">
        <f>IF(D11="","",IF(H214="","",D11))</f>
        <v/>
      </c>
      <c r="E214" s="7"/>
      <c r="F214" s="7"/>
      <c r="G214" s="7"/>
      <c r="H214" s="10" t="str">
        <f>IF(AND(E214="",F214="",G214=""),"",IF(SUM(E214:G214)&gt;100,"ERROR",IF(AND(E10="TEST",SUM(E214:G214)&lt;=100),SUM(E214:G214),IF(AND(E10="*TEST",F214="",E214&lt;=30,G214&lt;=70),SUM(E214:G214),IF(AND(E10="*TEST",F214&lt;=20,E214&lt;=20,G214&lt;=60),SUM(E214:G214),IF(AND(E10="*TEST",F214="-",E214&lt;=20,G214&lt;=60),SUM(E214:G214),"ERROR"))))))</f>
        <v/>
      </c>
      <c r="I214" s="7" t="str">
        <f>IF(H214="ERROR","ERROR",IF(H214="","",IF(AND(F10="*LAB",F214="-"),"F",IF(H214&gt;69.5,"A",IF(H214&gt;59.5,"B",IF(H214&gt;49.5,"C",IF(AND(D10="*PROGRAM",H214&lt;49.5),"F",IF(H214&gt;44.5,"D",IF(H214&gt;39.5,"E","F")))))))))</f>
        <v/>
      </c>
      <c r="J214" s="7" t="str">
        <f t="shared" si="9"/>
        <v/>
      </c>
      <c r="K214" s="1"/>
    </row>
    <row r="215" ht="15.75" customHeight="1" spans="1:11">
      <c r="A215" s="7">
        <v>150</v>
      </c>
      <c r="B215" s="32"/>
      <c r="C215" s="34"/>
      <c r="D215" s="7" t="str">
        <f>IF(D11="","",IF(H215="","",D11))</f>
        <v/>
      </c>
      <c r="E215" s="7"/>
      <c r="F215" s="7"/>
      <c r="G215" s="7"/>
      <c r="H215" s="10" t="str">
        <f>IF(AND(E215="",F215="",G215=""),"",IF(SUM(E215:G215)&gt;100,"ERROR",IF(AND(E10="TEST",SUM(E215:G215)&lt;=100),SUM(E215:G215),IF(AND(E10="*TEST",F215="",E215&lt;=30,G215&lt;=70),SUM(E215:G215),IF(AND(E10="*TEST",F215&lt;=20,E215&lt;=20,G215&lt;=60),SUM(E215:G215),IF(AND(E10="*TEST",F215="-",E215&lt;=20,G215&lt;=60),SUM(E215:G215),"ERROR"))))))</f>
        <v/>
      </c>
      <c r="I215" s="7" t="str">
        <f>IF(H215="ERROR","ERROR",IF(H215="","",IF(AND(F10="*LAB",F215="-"),"F",IF(H215&gt;69.5,"A",IF(H215&gt;59.5,"B",IF(H215&gt;49.5,"C",IF(AND(D10="*PROGRAM",H215&lt;49.5),"F",IF(H215&gt;44.5,"D",IF(H215&gt;39.5,"E","F")))))))))</f>
        <v/>
      </c>
      <c r="J215" s="7" t="str">
        <f t="shared" si="9"/>
        <v/>
      </c>
      <c r="K215" s="1"/>
    </row>
    <row r="216" ht="15.75" customHeight="1" spans="1:11">
      <c r="A216" s="7">
        <v>151</v>
      </c>
      <c r="B216" s="32"/>
      <c r="C216" s="33"/>
      <c r="D216" s="7" t="str">
        <f>IF(D11="","",IF(H216="","",D11))</f>
        <v/>
      </c>
      <c r="E216" s="7"/>
      <c r="F216" s="7"/>
      <c r="G216" s="7"/>
      <c r="H216" s="10" t="str">
        <f>IF(AND(E216="",F216="",G216=""),"",IF(SUM(E216:G216)&gt;100,"ERROR",IF(AND(E10="TEST",SUM(E216:G216)&lt;=100),SUM(E216:G216),IF(AND(E10="*TEST",F216="",E216&lt;=30,G216&lt;=70),SUM(E216:G216),IF(AND(E10="*TEST",F216&lt;=20,E216&lt;=20,G216&lt;=60),SUM(E216:G216),IF(AND(E10="*TEST",F216="-",E216&lt;=20,G216&lt;=60),SUM(E216:G216),"ERROR"))))))</f>
        <v/>
      </c>
      <c r="I216" s="7" t="str">
        <f>IF(H216="ERROR","ERROR",IF(H216="","",IF(AND(F10="*LAB",F216="-"),"F",IF(H216&gt;69.5,"A",IF(H216&gt;59.5,"B",IF(H216&gt;49.5,"C",IF(AND(D10="*PROGRAM",H216&lt;49.5),"F",IF(H216&gt;44.5,"D",IF(H216&gt;39.5,"E","F")))))))))</f>
        <v/>
      </c>
      <c r="J216" s="7" t="str">
        <f t="shared" si="9"/>
        <v/>
      </c>
      <c r="K216" s="1"/>
    </row>
    <row r="217" ht="15.75" customHeight="1" spans="1:11">
      <c r="A217" s="7">
        <v>152</v>
      </c>
      <c r="B217" s="35"/>
      <c r="C217" s="36"/>
      <c r="D217" s="7" t="str">
        <f>IF(D11="","",IF(H217="","",D11))</f>
        <v/>
      </c>
      <c r="E217" s="7"/>
      <c r="F217" s="7"/>
      <c r="G217" s="7"/>
      <c r="H217" s="10" t="str">
        <f>IF(AND(E217="",F217="",G217=""),"",IF(SUM(E217:G217)&gt;100,"ERROR",IF(AND(E10="TEST",SUM(E217:G217)&lt;=100),SUM(E217:G217),IF(AND(E10="*TEST",F217="",E217&lt;=30,G217&lt;=70),SUM(E217:G217),IF(AND(E10="*TEST",F217&lt;=20,E217&lt;=20,G217&lt;=60),SUM(E217:G217),IF(AND(E10="*TEST",F217="-",E217&lt;=20,G217&lt;=60),SUM(E217:G217),"ERROR"))))))</f>
        <v/>
      </c>
      <c r="I217" s="7" t="str">
        <f>IF(H217="ERROR","ERROR",IF(H217="","",IF(AND(F10="*LAB",F217="-"),"F",IF(H217&gt;69.5,"A",IF(H217&gt;59.5,"B",IF(H217&gt;49.5,"C",IF(AND(D10="*PROGRAM",H217&lt;49.5),"F",IF(H217&gt;44.5,"D",IF(H217&gt;39.5,"E","F")))))))))</f>
        <v/>
      </c>
      <c r="J217" s="7" t="str">
        <f t="shared" si="9"/>
        <v/>
      </c>
      <c r="K217" s="1"/>
    </row>
    <row r="218" ht="15.75" customHeight="1" spans="1:11">
      <c r="A218" s="7">
        <v>153</v>
      </c>
      <c r="B218" s="37"/>
      <c r="C218" s="38"/>
      <c r="D218" s="7" t="str">
        <f>IF(D11="","",IF(H218="","",D11))</f>
        <v/>
      </c>
      <c r="E218" s="7"/>
      <c r="F218" s="7"/>
      <c r="G218" s="7"/>
      <c r="H218" s="10" t="str">
        <f>IF(AND(E218="",F218="",G218=""),"",IF(SUM(E218:G218)&gt;100,"ERROR",IF(AND(E10="TEST",SUM(E218:G218)&lt;=100),SUM(E218:G218),IF(AND(E10="*TEST",F218="",E218&lt;=30,G218&lt;=70),SUM(E218:G218),IF(AND(E10="*TEST",F218&lt;=20,E218&lt;=20,G218&lt;=60),SUM(E218:G218),IF(AND(E10="*TEST",F218="-",E218&lt;=20,G218&lt;=60),SUM(E218:G218),"ERROR"))))))</f>
        <v/>
      </c>
      <c r="I218" s="7" t="str">
        <f>IF(H218="ERROR","ERROR",IF(H218="","",IF(AND(F10="*LAB",F218="-"),"F",IF(H218&gt;69.5,"A",IF(H218&gt;59.5,"B",IF(H218&gt;49.5,"C",IF(AND(D10="*PROGRAM",H218&lt;49.5),"F",IF(H218&gt;44.5,"D",IF(H218&gt;39.5,"E","F")))))))))</f>
        <v/>
      </c>
      <c r="J218" s="7" t="str">
        <f t="shared" si="9"/>
        <v/>
      </c>
      <c r="K218" s="1"/>
    </row>
    <row r="219" ht="15.75" customHeight="1" spans="1:11">
      <c r="A219" s="7">
        <v>154</v>
      </c>
      <c r="B219" s="39"/>
      <c r="C219" s="40"/>
      <c r="D219" s="7" t="str">
        <f>IF(D11="","",IF(H219="","",D11))</f>
        <v/>
      </c>
      <c r="E219" s="7"/>
      <c r="F219" s="7"/>
      <c r="G219" s="7"/>
      <c r="H219" s="10" t="str">
        <f>IF(AND(E219="",F219="",G219=""),"",IF(SUM(E219:G219)&gt;100,"ERROR",IF(AND(E10="TEST",SUM(E219:G219)&lt;=100),SUM(E219:G219),IF(AND(E10="*TEST",F219="",E219&lt;=30,G219&lt;=70),SUM(E219:G219),IF(AND(E10="*TEST",F219&lt;=20,E219&lt;=20,G219&lt;=60),SUM(E219:G219),IF(AND(E10="*TEST",F219="-",E219&lt;=20,G219&lt;=60),SUM(E219:G219),"ERROR"))))))</f>
        <v/>
      </c>
      <c r="I219" s="7" t="str">
        <f>IF(H219="ERROR","ERROR",IF(H219="","",IF(AND(F10="*LAB",F219="-"),"F",IF(H219&gt;69.5,"A",IF(H219&gt;59.5,"B",IF(H219&gt;49.5,"C",IF(AND(D10="*PROGRAM",H219&lt;49.5),"F",IF(H219&gt;44.5,"D",IF(H219&gt;39.5,"E","F")))))))))</f>
        <v/>
      </c>
      <c r="J219" s="7" t="str">
        <f t="shared" si="9"/>
        <v/>
      </c>
      <c r="K219" s="1"/>
    </row>
    <row r="220" ht="15.75" customHeight="1" spans="1:11">
      <c r="A220" s="7">
        <v>155</v>
      </c>
      <c r="B220" s="37"/>
      <c r="C220" s="40"/>
      <c r="D220" s="7" t="str">
        <f>IF(D11="","",IF(H220="","",D11))</f>
        <v/>
      </c>
      <c r="E220" s="7"/>
      <c r="F220" s="7"/>
      <c r="G220" s="7"/>
      <c r="H220" s="10" t="str">
        <f>IF(AND(E220="",F220="",G220=""),"",IF(SUM(E220:G220)&gt;100,"ERROR",IF(AND(E10="TEST",SUM(E220:G220)&lt;=100),SUM(E220:G220),IF(AND(E10="*TEST",F220="",E220&lt;=30,G220&lt;=70),SUM(E220:G220),IF(AND(E10="*TEST",F220&lt;=20,E220&lt;=20,G220&lt;=60),SUM(E220:G220),IF(AND(E10="*TEST",F220="-",E220&lt;=20,G220&lt;=60),SUM(E220:G220),"ERROR"))))))</f>
        <v/>
      </c>
      <c r="I220" s="7" t="str">
        <f>IF(H220="ERROR","ERROR",IF(H220="","",IF(AND(F10="*LAB",F220="-"),"F",IF(H220&gt;69.5,"A",IF(H220&gt;59.5,"B",IF(H220&gt;49.5,"C",IF(AND(D10="*PROGRAM",H220&lt;49.5),"F",IF(H220&gt;44.5,"D",IF(H220&gt;39.5,"E","F")))))))))</f>
        <v/>
      </c>
      <c r="J220" s="7" t="str">
        <f t="shared" si="9"/>
        <v/>
      </c>
      <c r="K220" s="1"/>
    </row>
    <row r="221" ht="15.75" customHeight="1" spans="1:11">
      <c r="A221" s="7">
        <v>156</v>
      </c>
      <c r="B221" s="41"/>
      <c r="C221" s="41"/>
      <c r="D221" s="7" t="str">
        <f>IF(D11="","",IF(H221="","",D11))</f>
        <v/>
      </c>
      <c r="E221" s="7"/>
      <c r="F221" s="7"/>
      <c r="G221" s="7"/>
      <c r="H221" s="10" t="str">
        <f>IF(AND(E221="",F221="",G221=""),"",IF(SUM(E221:G221)&gt;100,"ERROR",IF(AND(E10="TEST",SUM(E221:G221)&lt;=100),SUM(E221:G221),IF(AND(E10="*TEST",F221="",E221&lt;=30,G221&lt;=70),SUM(E221:G221),IF(AND(E10="*TEST",F221&lt;=20,E221&lt;=20,G221&lt;=60),SUM(E221:G221),IF(AND(E10="*TEST",F221="-",E221&lt;=20,G221&lt;=60),SUM(E221:G221),"ERROR"))))))</f>
        <v/>
      </c>
      <c r="I221" s="7" t="str">
        <f>IF(H221="ERROR","ERROR",IF(H221="","",IF(AND(F10="*LAB",F221="-"),"F",IF(H221&gt;69.5,"A",IF(H221&gt;59.5,"B",IF(H221&gt;49.5,"C",IF(AND(D10="*PROGRAM",H221&lt;49.5),"F",IF(H221&gt;44.5,"D",IF(H221&gt;39.5,"E","F")))))))))</f>
        <v/>
      </c>
      <c r="J221" s="7" t="str">
        <f t="shared" si="9"/>
        <v/>
      </c>
      <c r="K221" s="1"/>
    </row>
    <row r="222" ht="15.75" customHeight="1" spans="1:11">
      <c r="A222" s="7">
        <v>157</v>
      </c>
      <c r="B222" s="33"/>
      <c r="C222" s="33"/>
      <c r="D222" s="7" t="str">
        <f>IF(D11="","",IF(H222="","",D11))</f>
        <v/>
      </c>
      <c r="E222" s="7"/>
      <c r="F222" s="7"/>
      <c r="G222" s="7"/>
      <c r="H222" s="10" t="str">
        <f>IF(AND(E222="",F222="",G222=""),"",IF(SUM(E222:G222)&gt;100,"ERROR",IF(AND(E10="TEST",SUM(E222:G222)&lt;=100),SUM(E222:G222),IF(AND(E10="*TEST",F222="",E222&lt;=30,G222&lt;=70),SUM(E222:G222),IF(AND(E10="*TEST",F222&lt;=20,E222&lt;=20,G222&lt;=60),SUM(E222:G222),IF(AND(E10="*TEST",F222="-",E222&lt;=20,G222&lt;=60),SUM(E222:G222),"ERROR"))))))</f>
        <v/>
      </c>
      <c r="I222" s="7" t="str">
        <f>IF(H222="ERROR","ERROR",IF(H222="","",IF(AND(F10="*LAB",F222="-"),"F",IF(H222&gt;69.5,"A",IF(H222&gt;59.5,"B",IF(H222&gt;49.5,"C",IF(AND(D10="*PROGRAM",H222&lt;49.5),"F",IF(H222&gt;44.5,"D",IF(H222&gt;39.5,"E","F")))))))))</f>
        <v/>
      </c>
      <c r="J222" s="7" t="str">
        <f t="shared" si="9"/>
        <v/>
      </c>
      <c r="K222" s="1"/>
    </row>
    <row r="223" ht="15.75" customHeight="1" spans="1:11">
      <c r="A223" s="7">
        <v>158</v>
      </c>
      <c r="B223" s="33"/>
      <c r="C223" s="33"/>
      <c r="D223" s="7" t="str">
        <f>IF(D11="","",IF(H223="","",D11))</f>
        <v/>
      </c>
      <c r="E223" s="7"/>
      <c r="F223" s="7"/>
      <c r="G223" s="7"/>
      <c r="H223" s="10" t="str">
        <f>IF(AND(E223="",F223="",G223=""),"",IF(SUM(E223:G223)&gt;100,"ERROR",IF(AND(E10="TEST",SUM(E223:G223)&lt;=100),SUM(E223:G223),IF(AND(E10="*TEST",F223="",E223&lt;=30,G223&lt;=70),SUM(E223:G223),IF(AND(E10="*TEST",F223&lt;=20,E223&lt;=20,G223&lt;=60),SUM(E223:G223),IF(AND(E10="*TEST",F223="-",E223&lt;=20,G223&lt;=60),SUM(E223:G223),"ERROR"))))))</f>
        <v/>
      </c>
      <c r="I223" s="7" t="str">
        <f>IF(H223="ERROR","ERROR",IF(H223="","",IF(AND(F10="*LAB",F223="-"),"F",IF(H223&gt;69.5,"A",IF(H223&gt;59.5,"B",IF(H223&gt;49.5,"C",IF(AND(D10="*PROGRAM",H223&lt;49.5),"F",IF(H223&gt;44.5,"D",IF(H223&gt;39.5,"E","F")))))))))</f>
        <v/>
      </c>
      <c r="J223" s="7" t="str">
        <f t="shared" si="9"/>
        <v/>
      </c>
      <c r="K223" s="1"/>
    </row>
    <row r="224" ht="15.75" customHeight="1" spans="1:11">
      <c r="A224" s="7">
        <v>159</v>
      </c>
      <c r="B224" s="33"/>
      <c r="C224" s="33"/>
      <c r="D224" s="7" t="str">
        <f>IF(D11="","",IF(H224="","",D11))</f>
        <v/>
      </c>
      <c r="E224" s="7"/>
      <c r="F224" s="7"/>
      <c r="G224" s="7"/>
      <c r="H224" s="10" t="str">
        <f>IF(AND(E224="",F224="",G224=""),"",IF(SUM(E224:G224)&gt;100,"ERROR",IF(AND(E10="TEST",SUM(E224:G224)&lt;=100),SUM(E224:G224),IF(AND(E10="*TEST",F224="",E224&lt;=30,G224&lt;=70),SUM(E224:G224),IF(AND(E10="*TEST",F224&lt;=20,E224&lt;=20,G224&lt;=60),SUM(E224:G224),IF(AND(E10="*TEST",F224="-",E224&lt;=20,G224&lt;=60),SUM(E224:G224),"ERROR"))))))</f>
        <v/>
      </c>
      <c r="I224" s="7" t="str">
        <f>IF(H224="ERROR","ERROR",IF(H224="","",IF(AND(F10="*LAB",F224="-"),"F",IF(H224&gt;69.5,"A",IF(H224&gt;59.5,"B",IF(H224&gt;49.5,"C",IF(AND(D10="*PROGRAM",H224&lt;49.5),"F",IF(H224&gt;44.5,"D",IF(H224&gt;39.5,"E","F")))))))))</f>
        <v/>
      </c>
      <c r="J224" s="7" t="str">
        <f t="shared" si="9"/>
        <v/>
      </c>
      <c r="K224" s="1"/>
    </row>
    <row r="225" ht="15.75" customHeight="1" spans="1:11">
      <c r="A225" s="7">
        <v>160</v>
      </c>
      <c r="B225" s="33"/>
      <c r="C225" s="33"/>
      <c r="D225" s="7" t="str">
        <f>IF(D11="","",IF(H225="","",D11))</f>
        <v/>
      </c>
      <c r="E225" s="7"/>
      <c r="F225" s="7"/>
      <c r="G225" s="7"/>
      <c r="H225" s="10" t="str">
        <f>IF(AND(E225="",F225="",G225=""),"",IF(SUM(E225:G225)&gt;100,"ERROR",IF(AND(E10="TEST",SUM(E225:G225)&lt;=100),SUM(E225:G225),IF(AND(E10="*TEST",F225="",E225&lt;=30,G225&lt;=70),SUM(E225:G225),IF(AND(E10="*TEST",F225&lt;=20,E225&lt;=20,G225&lt;=60),SUM(E225:G225),IF(AND(E10="*TEST",F225="-",E225&lt;=20,G225&lt;=60),SUM(E225:G225),"ERROR"))))))</f>
        <v/>
      </c>
      <c r="I225" s="7" t="str">
        <f>IF(H225="ERROR","ERROR",IF(H225="","",IF(AND(F10="*LAB",F225="-"),"F",IF(H225&gt;69.5,"A",IF(H225&gt;59.5,"B",IF(H225&gt;49.5,"C",IF(AND(D10="*PROGRAM",H225&lt;49.5),"F",IF(H225&gt;44.5,"D",IF(H225&gt;39.5,"E","F")))))))))</f>
        <v/>
      </c>
      <c r="J225" s="7" t="str">
        <f t="shared" si="9"/>
        <v/>
      </c>
      <c r="K225" s="1"/>
    </row>
    <row r="226" ht="24.75" customHeight="1" spans="1:11">
      <c r="A226" s="1"/>
      <c r="B226" s="12"/>
      <c r="C226" s="1"/>
      <c r="D226" s="1"/>
      <c r="E226" s="1"/>
      <c r="F226" s="1"/>
      <c r="G226" s="13"/>
      <c r="H226" s="14"/>
      <c r="I226" s="14"/>
      <c r="J226" s="14"/>
      <c r="K226" s="1"/>
    </row>
    <row r="227" ht="15.75" customHeight="1" spans="1:11">
      <c r="A227" s="1"/>
      <c r="B227" s="15" t="s">
        <v>60</v>
      </c>
      <c r="C227" s="13"/>
      <c r="D227" s="13"/>
      <c r="E227" s="13"/>
      <c r="F227" s="13"/>
      <c r="G227" s="16" t="s">
        <v>61</v>
      </c>
      <c r="H227" s="17"/>
      <c r="I227" s="17"/>
      <c r="J227" s="17"/>
      <c r="K227" s="1"/>
    </row>
    <row r="228" ht="15.75" customHeight="1" spans="1:11">
      <c r="A228" s="1" t="str">
        <f>IF(AND(I245="",I186&lt;&gt;""),A889,"")</f>
        <v/>
      </c>
      <c r="B228" s="2" t="str">
        <f>IF(A228="","",B889)</f>
        <v/>
      </c>
      <c r="C228" s="16" t="s">
        <v>62</v>
      </c>
      <c r="D228" s="17"/>
      <c r="E228" s="17"/>
      <c r="F228" s="17"/>
      <c r="G228" s="1"/>
      <c r="H228" s="1"/>
      <c r="I228" s="1"/>
      <c r="J228" s="1"/>
      <c r="K228" s="1"/>
    </row>
    <row r="229" ht="15.75" customHeight="1" spans="1:11">
      <c r="A229" s="1" t="str">
        <f>IF(A228="","",A890)</f>
        <v/>
      </c>
      <c r="B229" s="2" t="str">
        <f>IF(A228="","",B890)</f>
        <v/>
      </c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 spans="1:11">
      <c r="A230" s="1" t="str">
        <f>IF(A228="","",A891)</f>
        <v/>
      </c>
      <c r="B230" s="2" t="str">
        <f>IF(A228="","",B891)</f>
        <v/>
      </c>
      <c r="C230" s="18" t="s">
        <v>63</v>
      </c>
      <c r="D230" s="17"/>
      <c r="E230" s="17"/>
      <c r="F230" s="17"/>
      <c r="G230" s="17"/>
      <c r="H230" s="17"/>
      <c r="I230" s="17"/>
      <c r="J230" s="24"/>
      <c r="K230" s="1"/>
    </row>
    <row r="231" ht="15.75" customHeight="1" spans="1:11">
      <c r="A231" s="1" t="str">
        <f>IF(A228="","",A892)</f>
        <v/>
      </c>
      <c r="B231" s="2" t="str">
        <f>IF(A228="","",B892)</f>
        <v/>
      </c>
      <c r="C231" s="19" t="s">
        <v>64</v>
      </c>
      <c r="F231" s="15"/>
      <c r="G231" s="15" t="s">
        <v>65</v>
      </c>
      <c r="J231" s="25"/>
      <c r="K231" s="1"/>
    </row>
    <row r="232" ht="15.75" customHeight="1" spans="1:11">
      <c r="A232" s="1" t="str">
        <f>IF(A228="","",A893)</f>
        <v/>
      </c>
      <c r="B232" s="2" t="str">
        <f>IF(A228="","",B893)</f>
        <v/>
      </c>
      <c r="C232" s="19" t="s">
        <v>66</v>
      </c>
      <c r="F232" s="15"/>
      <c r="G232" s="15" t="s">
        <v>67</v>
      </c>
      <c r="J232" s="25"/>
      <c r="K232" s="1"/>
    </row>
    <row r="233" ht="15.75" customHeight="1" spans="1:11">
      <c r="A233" s="1" t="str">
        <f>IF(A228="","",A894)</f>
        <v/>
      </c>
      <c r="B233" s="2" t="str">
        <f>IF(A228="","",B894)</f>
        <v/>
      </c>
      <c r="C233" s="20" t="s">
        <v>68</v>
      </c>
      <c r="D233" s="14"/>
      <c r="E233" s="14"/>
      <c r="F233" s="21"/>
      <c r="G233" s="21" t="s">
        <v>69</v>
      </c>
      <c r="H233" s="14"/>
      <c r="I233" s="14"/>
      <c r="J233" s="26"/>
      <c r="K233" s="1"/>
    </row>
    <row r="234" ht="15.75" customHeight="1" spans="1:11">
      <c r="A234" s="1" t="str">
        <f>IF(A228="","",A895)</f>
        <v/>
      </c>
      <c r="B234" s="22" t="str">
        <f>IF(A228="","",B895)</f>
        <v/>
      </c>
      <c r="C234" s="1"/>
      <c r="D234" s="1"/>
      <c r="E234" s="1"/>
      <c r="F234" s="1"/>
      <c r="G234" s="1"/>
      <c r="H234" s="1"/>
      <c r="I234" s="1"/>
      <c r="J234" s="27" t="s">
        <v>176</v>
      </c>
      <c r="K234" s="1"/>
    </row>
    <row r="235" ht="15.75" customHeight="1" spans="1:11">
      <c r="A235" s="23"/>
      <c r="B235" s="23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 spans="1:11">
      <c r="A236" s="1"/>
      <c r="B236" s="3" t="s">
        <v>0</v>
      </c>
      <c r="K236" s="1"/>
    </row>
    <row r="237" ht="15.75" customHeight="1" spans="1:11">
      <c r="A237" s="1"/>
      <c r="B237" s="4" t="s">
        <v>1</v>
      </c>
      <c r="K237" s="1"/>
    </row>
    <row r="238" ht="15.75" customHeight="1" spans="1:1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 spans="1:11">
      <c r="A239" s="2" t="str">
        <f t="shared" ref="A239:A242" si="10">A5</f>
        <v>School of Student: SEET</v>
      </c>
      <c r="D239" s="1"/>
      <c r="E239" s="5">
        <f t="shared" ref="E239:E242" si="11">E5</f>
        <v>0</v>
      </c>
      <c r="K239" s="1"/>
    </row>
    <row r="240" ht="15.75" customHeight="1" spans="1:11">
      <c r="A240" s="2" t="str">
        <f t="shared" si="10"/>
        <v>Department: BIOMEDICAL ENGINEERING</v>
      </c>
      <c r="D240" s="1"/>
      <c r="E240" s="5" t="str">
        <f t="shared" si="11"/>
        <v>Session: ---------------------------------</v>
      </c>
      <c r="K240" s="1"/>
    </row>
    <row r="241" ht="15.75" customHeight="1" spans="1:11">
      <c r="A241" s="2" t="str">
        <f t="shared" si="10"/>
        <v>Title of Course: ------------------------</v>
      </c>
      <c r="D241" s="1"/>
      <c r="E241" s="5" t="str">
        <f t="shared" si="11"/>
        <v>Course Code: -------------------------</v>
      </c>
      <c r="K241" s="1"/>
    </row>
    <row r="242" ht="15.75" customHeight="1" spans="1:11">
      <c r="A242" s="2" t="str">
        <f t="shared" si="10"/>
        <v>School Offering Course: ----------------------------</v>
      </c>
      <c r="D242" s="1"/>
      <c r="E242" s="5" t="str">
        <f t="shared" si="11"/>
        <v>Date: -----------------------------</v>
      </c>
      <c r="K242" s="1"/>
    </row>
    <row r="243" ht="15.75" customHeight="1" spans="1:11">
      <c r="A243" s="1"/>
      <c r="B243" s="2"/>
      <c r="C243" s="1"/>
      <c r="D243" s="5"/>
      <c r="E243" s="5"/>
      <c r="F243" s="5"/>
      <c r="G243" s="5"/>
      <c r="H243" s="5"/>
      <c r="I243" s="5"/>
      <c r="J243" s="5"/>
      <c r="K243" s="1"/>
    </row>
    <row r="244" ht="15.75" customHeight="1" spans="1:11">
      <c r="A244" s="6" t="s">
        <v>9</v>
      </c>
      <c r="B244" s="6" t="s">
        <v>10</v>
      </c>
      <c r="C244" s="6" t="s">
        <v>11</v>
      </c>
      <c r="D244" s="6" t="s">
        <v>12</v>
      </c>
      <c r="E244" s="6" t="s">
        <v>13</v>
      </c>
      <c r="F244" s="6" t="s">
        <v>14</v>
      </c>
      <c r="G244" s="6" t="s">
        <v>15</v>
      </c>
      <c r="H244" s="6" t="s">
        <v>16</v>
      </c>
      <c r="I244" s="6" t="s">
        <v>17</v>
      </c>
      <c r="J244" s="6" t="s">
        <v>18</v>
      </c>
      <c r="K244" s="1"/>
    </row>
    <row r="245" ht="15.75" customHeight="1" spans="1:11">
      <c r="A245" s="7">
        <v>161</v>
      </c>
      <c r="B245" s="42"/>
      <c r="C245" s="33">
        <v>20201213082</v>
      </c>
      <c r="D245" s="7" t="str">
        <f>IF(D11="","",IF(H245="","",D11))</f>
        <v/>
      </c>
      <c r="E245" s="7"/>
      <c r="F245" s="7"/>
      <c r="G245" s="7"/>
      <c r="H245" s="10" t="str">
        <f>IF(AND(E245="",F245="",G245=""),"",IF(SUM(E245:G245)&gt;100,"ERROR",IF(AND(E10="TEST",SUM(E245:G245)&lt;=100),SUM(E245:G245),IF(AND(E10="*TEST",F245="",E245&lt;=30,G245&lt;=70),SUM(E245:G245),IF(AND(E10="*TEST",F245&lt;=20,E245&lt;=20,G245&lt;=60),SUM(E245:G245),IF(AND(E10="*TEST",F245="-",E245&lt;=20,G245&lt;=60),SUM(E245:G245),"ERROR"))))))</f>
        <v/>
      </c>
      <c r="I245" s="7" t="str">
        <f>IF(H245="ERROR","ERROR",IF(H245="","",IF(AND(F10="*LAB",F245="-"),"F",IF(H245&gt;69.5,"A",IF(H245&gt;59.5,"B",IF(H245&gt;49.5,"C",IF(AND(D10="*PROGRAM",H245&lt;49.5),"F",IF(H245&gt;44.5,"D",IF(H245&gt;39.5,"E","F")))))))))</f>
        <v/>
      </c>
      <c r="J245" s="7" t="str">
        <f t="shared" ref="J245:J284" si="12">IF(H245="ERROR","ERROR",IF(I245="","",IF(I245="F","FAIL","PASS")))</f>
        <v/>
      </c>
      <c r="K245" s="1"/>
    </row>
    <row r="246" ht="15.75" customHeight="1" spans="1:11">
      <c r="A246" s="7">
        <v>162</v>
      </c>
      <c r="B246" s="32"/>
      <c r="C246" s="33"/>
      <c r="D246" s="7" t="str">
        <f>IF(D11="","",IF(H246="","",D11))</f>
        <v/>
      </c>
      <c r="E246" s="7"/>
      <c r="F246" s="7"/>
      <c r="G246" s="7"/>
      <c r="H246" s="10" t="str">
        <f>IF(AND(E246="",F246="",G246=""),"",IF(SUM(E246:G246)&gt;100,"ERROR",IF(AND(E10="TEST",SUM(E246:G246)&lt;=100),SUM(E246:G246),IF(AND(E10="*TEST",F246="",E246&lt;=30,G246&lt;=70),SUM(E246:G246),IF(AND(E10="*TEST",F246&lt;=20,E246&lt;=20,G246&lt;=60),SUM(E246:G246),IF(AND(E10="*TEST",F246="-",E246&lt;=20,G246&lt;=60),SUM(E246:G246),"ERROR"))))))</f>
        <v/>
      </c>
      <c r="I246" s="7" t="str">
        <f>IF(H246="ERROR","ERROR",IF(H246="","",IF(AND(F10="*LAB",F246="-"),"F",IF(H246&gt;69.5,"A",IF(H246&gt;59.5,"B",IF(H246&gt;49.5,"C",IF(AND(D10="*PROGRAM",H246&lt;49.5),"F",IF(H246&gt;44.5,"D",IF(H246&gt;39.5,"E","F")))))))))</f>
        <v/>
      </c>
      <c r="J246" s="7" t="str">
        <f t="shared" si="12"/>
        <v/>
      </c>
      <c r="K246" s="1"/>
    </row>
    <row r="247" ht="15.75" customHeight="1" spans="1:11">
      <c r="A247" s="7">
        <v>163</v>
      </c>
      <c r="B247" s="32"/>
      <c r="C247" s="33"/>
      <c r="D247" s="7" t="str">
        <f>IF(D11="","",IF(H247="","",D11))</f>
        <v/>
      </c>
      <c r="E247" s="7"/>
      <c r="F247" s="7"/>
      <c r="G247" s="7"/>
      <c r="H247" s="10" t="str">
        <f>IF(AND(E247="",F247="",G247=""),"",IF(SUM(E247:G247)&gt;100,"ERROR",IF(AND(E10="TEST",SUM(E247:G247)&lt;=100),SUM(E247:G247),IF(AND(E10="*TEST",F247="",E247&lt;=30,G247&lt;=70),SUM(E247:G247),IF(AND(E10="*TEST",F247&lt;=20,E247&lt;=20,G247&lt;=60),SUM(E247:G247),IF(AND(E10="*TEST",F247="-",E247&lt;=20,G247&lt;=60),SUM(E247:G247),"ERROR"))))))</f>
        <v/>
      </c>
      <c r="I247" s="7" t="str">
        <f>IF(H247="ERROR","ERROR",IF(H247="","",IF(AND(F10="*LAB",F247="-"),"F",IF(H247&gt;69.5,"A",IF(H247&gt;59.5,"B",IF(H247&gt;49.5,"C",IF(AND(D10="*PROGRAM",H247&lt;49.5),"F",IF(H247&gt;44.5,"D",IF(H247&gt;39.5,"E","F")))))))))</f>
        <v/>
      </c>
      <c r="J247" s="7" t="str">
        <f t="shared" si="12"/>
        <v/>
      </c>
      <c r="K247" s="1"/>
    </row>
    <row r="248" ht="15.75" customHeight="1" spans="1:11">
      <c r="A248" s="7">
        <v>164</v>
      </c>
      <c r="B248" s="32"/>
      <c r="C248" s="33"/>
      <c r="D248" s="7" t="str">
        <f>IF(D11="","",IF(H248="","",D11))</f>
        <v/>
      </c>
      <c r="E248" s="7"/>
      <c r="F248" s="7"/>
      <c r="G248" s="7"/>
      <c r="H248" s="10" t="str">
        <f>IF(AND(E248="",F248="",G248=""),"",IF(SUM(E248:G248)&gt;100,"ERROR",IF(AND(E10="TEST",SUM(E248:G248)&lt;=100),SUM(E248:G248),IF(AND(E10="*TEST",F248="",E248&lt;=30,G248&lt;=70),SUM(E248:G248),IF(AND(E10="*TEST",F248&lt;=20,E248&lt;=20,G248&lt;=60),SUM(E248:G248),IF(AND(E10="*TEST",F248="-",E248&lt;=20,G248&lt;=60),SUM(E248:G248),"ERROR"))))))</f>
        <v/>
      </c>
      <c r="I248" s="7" t="str">
        <f>IF(H248="ERROR","ERROR",IF(H248="","",IF(AND(F10="*LAB",F248="-"),"F",IF(H248&gt;69.5,"A",IF(H248&gt;59.5,"B",IF(H248&gt;49.5,"C",IF(AND(D10="*PROGRAM",H248&lt;49.5),"F",IF(H248&gt;44.5,"D",IF(H248&gt;39.5,"E","F")))))))))</f>
        <v/>
      </c>
      <c r="J248" s="7" t="str">
        <f t="shared" si="12"/>
        <v/>
      </c>
      <c r="K248" s="1"/>
    </row>
    <row r="249" ht="15.75" customHeight="1" spans="1:11">
      <c r="A249" s="7">
        <v>165</v>
      </c>
      <c r="B249" s="32"/>
      <c r="C249" s="33"/>
      <c r="D249" s="7" t="str">
        <f>IF(D11="","",IF(H249="","",D11))</f>
        <v/>
      </c>
      <c r="E249" s="7"/>
      <c r="F249" s="7"/>
      <c r="G249" s="7"/>
      <c r="H249" s="10" t="str">
        <f>IF(AND(E249="",F249="",G249=""),"",IF(SUM(E249:G249)&gt;100,"ERROR",IF(AND(E10="TEST",SUM(E249:G249)&lt;=100),SUM(E249:G249),IF(AND(E10="*TEST",F249="",E249&lt;=30,G249&lt;=70),SUM(E249:G249),IF(AND(E10="*TEST",F249&lt;=20,E249&lt;=20,G249&lt;=60),SUM(E249:G249),IF(AND(E10="*TEST",F249="-",E249&lt;=20,G249&lt;=60),SUM(E249:G249),"ERROR"))))))</f>
        <v/>
      </c>
      <c r="I249" s="7" t="str">
        <f>IF(H249="ERROR","ERROR",IF(H249="","",IF(AND(F10="*LAB",F249="-"),"F",IF(H249&gt;69.5,"A",IF(H249&gt;59.5,"B",IF(H249&gt;49.5,"C",IF(AND(D10="*PROGRAM",H249&lt;49.5),"F",IF(H249&gt;44.5,"D",IF(H249&gt;39.5,"E","F")))))))))</f>
        <v/>
      </c>
      <c r="J249" s="7" t="str">
        <f t="shared" si="12"/>
        <v/>
      </c>
      <c r="K249" s="1"/>
    </row>
    <row r="250" ht="15.75" customHeight="1" spans="1:11">
      <c r="A250" s="7">
        <v>166</v>
      </c>
      <c r="B250" s="32"/>
      <c r="C250" s="33"/>
      <c r="D250" s="7" t="str">
        <f>IF(D11="","",IF(H250="","",D11))</f>
        <v/>
      </c>
      <c r="E250" s="7"/>
      <c r="F250" s="7"/>
      <c r="G250" s="7"/>
      <c r="H250" s="10" t="str">
        <f>IF(AND(E250="",F250="",G250=""),"",IF(SUM(E250:G250)&gt;100,"ERROR",IF(AND(E10="TEST",SUM(E250:G250)&lt;=100),SUM(E250:G250),IF(AND(E10="*TEST",F250="",E250&lt;=30,G250&lt;=70),SUM(E250:G250),IF(AND(E10="*TEST",F250&lt;=20,E250&lt;=20,G250&lt;=60),SUM(E250:G250),IF(AND(E10="*TEST",F250="-",E250&lt;=20,G250&lt;=60),SUM(E250:G250),"ERROR"))))))</f>
        <v/>
      </c>
      <c r="I250" s="7" t="str">
        <f>IF(H250="ERROR","ERROR",IF(H250="","",IF(AND(F10="*LAB",F250="-"),"F",IF(H250&gt;69.5,"A",IF(H250&gt;59.5,"B",IF(H250&gt;49.5,"C",IF(AND(D10="*PROGRAM",H250&lt;49.5),"F",IF(H250&gt;44.5,"D",IF(H250&gt;39.5,"E","F")))))))))</f>
        <v/>
      </c>
      <c r="J250" s="7" t="str">
        <f t="shared" si="12"/>
        <v/>
      </c>
      <c r="K250" s="1"/>
    </row>
    <row r="251" ht="15.75" customHeight="1" spans="1:11">
      <c r="A251" s="7">
        <v>167</v>
      </c>
      <c r="B251" s="32"/>
      <c r="C251" s="33"/>
      <c r="D251" s="7" t="str">
        <f>IF(D11="","",IF(H251="","",D11))</f>
        <v/>
      </c>
      <c r="E251" s="7"/>
      <c r="F251" s="7"/>
      <c r="G251" s="7"/>
      <c r="H251" s="10" t="str">
        <f>IF(AND(E251="",F251="",G251=""),"",IF(SUM(E251:G251)&gt;100,"ERROR",IF(AND(E10="TEST",SUM(E251:G251)&lt;=100),SUM(E251:G251),IF(AND(E10="*TEST",F251="",E251&lt;=30,G251&lt;=70),SUM(E251:G251),IF(AND(E10="*TEST",F251&lt;=20,E251&lt;=20,G251&lt;=60),SUM(E251:G251),IF(AND(E10="*TEST",F251="-",E251&lt;=20,G251&lt;=60),SUM(E251:G251),"ERROR"))))))</f>
        <v/>
      </c>
      <c r="I251" s="7" t="str">
        <f>IF(H251="ERROR","ERROR",IF(H251="","",IF(AND(F10="*LAB",F251="-"),"F",IF(H251&gt;69.5,"A",IF(H251&gt;59.5,"B",IF(H251&gt;49.5,"C",IF(AND(D10="*PROGRAM",H251&lt;49.5),"F",IF(H251&gt;44.5,"D",IF(H251&gt;39.5,"E","F")))))))))</f>
        <v/>
      </c>
      <c r="J251" s="7" t="str">
        <f t="shared" si="12"/>
        <v/>
      </c>
      <c r="K251" s="1"/>
    </row>
    <row r="252" ht="15.75" customHeight="1" spans="1:11">
      <c r="A252" s="7">
        <v>168</v>
      </c>
      <c r="B252" s="32"/>
      <c r="C252" s="33"/>
      <c r="D252" s="7" t="str">
        <f>IF(D11="","",IF(H252="","",D11))</f>
        <v/>
      </c>
      <c r="E252" s="7"/>
      <c r="F252" s="7"/>
      <c r="G252" s="7"/>
      <c r="H252" s="10" t="str">
        <f>IF(AND(E252="",F252="",G252=""),"",IF(SUM(E252:G252)&gt;100,"ERROR",IF(AND(E10="TEST",SUM(E252:G252)&lt;=100),SUM(E252:G252),IF(AND(E10="*TEST",F252="",E252&lt;=30,G252&lt;=70),SUM(E252:G252),IF(AND(E10="*TEST",F252&lt;=20,E252&lt;=20,G252&lt;=60),SUM(E252:G252),IF(AND(E10="*TEST",F252="-",E252&lt;=20,G252&lt;=60),SUM(E252:G252),"ERROR"))))))</f>
        <v/>
      </c>
      <c r="I252" s="7" t="str">
        <f>IF(H252="ERROR","ERROR",IF(H252="","",IF(AND(F10="*LAB",F252="-"),"F",IF(H252&gt;69.5,"A",IF(H252&gt;59.5,"B",IF(H252&gt;49.5,"C",IF(AND(D10="*PROGRAM",H252&lt;49.5),"F",IF(H252&gt;44.5,"D",IF(H252&gt;39.5,"E","F")))))))))</f>
        <v/>
      </c>
      <c r="J252" s="7" t="str">
        <f t="shared" si="12"/>
        <v/>
      </c>
      <c r="K252" s="1"/>
    </row>
    <row r="253" ht="15.75" customHeight="1" spans="1:11">
      <c r="A253" s="7">
        <v>169</v>
      </c>
      <c r="B253" s="32"/>
      <c r="C253" s="33"/>
      <c r="D253" s="7" t="str">
        <f>IF(D11="","",IF(H253="","",D11))</f>
        <v/>
      </c>
      <c r="E253" s="7"/>
      <c r="F253" s="7"/>
      <c r="G253" s="7"/>
      <c r="H253" s="10" t="str">
        <f>IF(AND(E253="",F253="",G253=""),"",IF(SUM(E253:G253)&gt;100,"ERROR",IF(AND(E10="TEST",SUM(E253:G253)&lt;=100),SUM(E253:G253),IF(AND(E10="*TEST",F253="",E253&lt;=30,G253&lt;=70),SUM(E253:G253),IF(AND(E10="*TEST",F253&lt;=20,E253&lt;=20,G253&lt;=60),SUM(E253:G253),IF(AND(E10="*TEST",F253="-",E253&lt;=20,G253&lt;=60),SUM(E253:G253),"ERROR"))))))</f>
        <v/>
      </c>
      <c r="I253" s="7" t="str">
        <f>IF(H253="ERROR","ERROR",IF(H253="","",IF(AND(F10="*LAB",F253="-"),"F",IF(H253&gt;69.5,"A",IF(H253&gt;59.5,"B",IF(H253&gt;49.5,"C",IF(AND(D10="*PROGRAM",H253&lt;49.5),"F",IF(H253&gt;44.5,"D",IF(H253&gt;39.5,"E","F")))))))))</f>
        <v/>
      </c>
      <c r="J253" s="7" t="str">
        <f t="shared" si="12"/>
        <v/>
      </c>
      <c r="K253" s="1"/>
    </row>
    <row r="254" ht="15.75" customHeight="1" spans="1:11">
      <c r="A254" s="7">
        <v>170</v>
      </c>
      <c r="B254" s="32"/>
      <c r="C254" s="33"/>
      <c r="D254" s="7" t="str">
        <f>IF(D11="","",IF(H254="","",D11))</f>
        <v/>
      </c>
      <c r="E254" s="7"/>
      <c r="F254" s="7"/>
      <c r="G254" s="7"/>
      <c r="H254" s="10" t="str">
        <f>IF(AND(E254="",F254="",G254=""),"",IF(SUM(E254:G254)&gt;100,"ERROR",IF(AND(E10="TEST",SUM(E254:G254)&lt;=100),SUM(E254:G254),IF(AND(E10="*TEST",F254="",E254&lt;=30,G254&lt;=70),SUM(E254:G254),IF(AND(E10="*TEST",F254&lt;=20,E254&lt;=20,G254&lt;=60),SUM(E254:G254),IF(AND(E10="*TEST",F254="-",E254&lt;=20,G254&lt;=60),SUM(E254:G254),"ERROR"))))))</f>
        <v/>
      </c>
      <c r="I254" s="7" t="str">
        <f>IF(H254="ERROR","ERROR",IF(H254="","",IF(AND(F10="*LAB",F254="-"),"F",IF(H254&gt;69.5,"A",IF(H254&gt;59.5,"B",IF(H254&gt;49.5,"C",IF(AND(D10="*PROGRAM",H254&lt;49.5),"F",IF(H254&gt;44.5,"D",IF(H254&gt;39.5,"E","F")))))))))</f>
        <v/>
      </c>
      <c r="J254" s="7" t="str">
        <f t="shared" si="12"/>
        <v/>
      </c>
      <c r="K254" s="1"/>
    </row>
    <row r="255" ht="15.75" customHeight="1" spans="1:11">
      <c r="A255" s="7">
        <v>171</v>
      </c>
      <c r="B255" s="32"/>
      <c r="C255" s="33"/>
      <c r="D255" s="7" t="str">
        <f>IF(D11="","",IF(H255="","",D11))</f>
        <v/>
      </c>
      <c r="E255" s="7"/>
      <c r="F255" s="7"/>
      <c r="G255" s="7"/>
      <c r="H255" s="10" t="str">
        <f>IF(AND(E255="",F255="",G255=""),"",IF(SUM(E255:G255)&gt;100,"ERROR",IF(AND(E10="TEST",SUM(E255:G255)&lt;=100),SUM(E255:G255),IF(AND(E10="*TEST",F255="",E255&lt;=30,G255&lt;=70),SUM(E255:G255),IF(AND(E10="*TEST",F255&lt;=20,E255&lt;=20,G255&lt;=60),SUM(E255:G255),IF(AND(E10="*TEST",F255="-",E255&lt;=20,G255&lt;=60),SUM(E255:G255),"ERROR"))))))</f>
        <v/>
      </c>
      <c r="I255" s="7" t="str">
        <f>IF(H255="ERROR","ERROR",IF(H255="","",IF(AND(F10="*LAB",F255="-"),"F",IF(H255&gt;69.5,"A",IF(H255&gt;59.5,"B",IF(H255&gt;49.5,"C",IF(AND(D10="*PROGRAM",H255&lt;49.5),"F",IF(H255&gt;44.5,"D",IF(H255&gt;39.5,"E","F")))))))))</f>
        <v/>
      </c>
      <c r="J255" s="7" t="str">
        <f t="shared" si="12"/>
        <v/>
      </c>
      <c r="K255" s="1"/>
    </row>
    <row r="256" ht="15.75" customHeight="1" spans="1:11">
      <c r="A256" s="7">
        <v>172</v>
      </c>
      <c r="B256" s="32"/>
      <c r="C256" s="33"/>
      <c r="D256" s="7" t="str">
        <f>IF(D11="","",IF(H256="","",D11))</f>
        <v/>
      </c>
      <c r="E256" s="7"/>
      <c r="F256" s="7"/>
      <c r="G256" s="7"/>
      <c r="H256" s="10" t="str">
        <f>IF(AND(E256="",F256="",G256=""),"",IF(SUM(E256:G256)&gt;100,"ERROR",IF(AND(E10="TEST",SUM(E256:G256)&lt;=100),SUM(E256:G256),IF(AND(E10="*TEST",F256="",E256&lt;=30,G256&lt;=70),SUM(E256:G256),IF(AND(E10="*TEST",F256&lt;=20,E256&lt;=20,G256&lt;=60),SUM(E256:G256),IF(AND(E10="*TEST",F256="-",E256&lt;=20,G256&lt;=60),SUM(E256:G256),"ERROR"))))))</f>
        <v/>
      </c>
      <c r="I256" s="7" t="str">
        <f>IF(H256="ERROR","ERROR",IF(H256="","",IF(AND(F10="*LAB",F256="-"),"F",IF(H256&gt;69.5,"A",IF(H256&gt;59.5,"B",IF(H256&gt;49.5,"C",IF(AND(D10="*PROGRAM",H256&lt;49.5),"F",IF(H256&gt;44.5,"D",IF(H256&gt;39.5,"E","F")))))))))</f>
        <v/>
      </c>
      <c r="J256" s="7" t="str">
        <f t="shared" si="12"/>
        <v/>
      </c>
      <c r="K256" s="1"/>
    </row>
    <row r="257" ht="15.75" customHeight="1" spans="1:11">
      <c r="A257" s="7">
        <v>173</v>
      </c>
      <c r="B257" s="32"/>
      <c r="C257" s="33"/>
      <c r="D257" s="7" t="str">
        <f>IF(D11="","",IF(H257="","",D11))</f>
        <v/>
      </c>
      <c r="E257" s="7"/>
      <c r="F257" s="7"/>
      <c r="G257" s="7"/>
      <c r="H257" s="10" t="str">
        <f>IF(AND(E257="",F257="",G257=""),"",IF(SUM(E257:G257)&gt;100,"ERROR",IF(AND(E10="TEST",SUM(E257:G257)&lt;=100),SUM(E257:G257),IF(AND(E10="*TEST",F257="",E257&lt;=30,G257&lt;=70),SUM(E257:G257),IF(AND(E10="*TEST",F257&lt;=20,E257&lt;=20,G257&lt;=60),SUM(E257:G257),IF(AND(E10="*TEST",F257="-",E257&lt;=20,G257&lt;=60),SUM(E257:G257),"ERROR"))))))</f>
        <v/>
      </c>
      <c r="I257" s="7" t="str">
        <f>IF(H257="ERROR","ERROR",IF(H257="","",IF(AND(F10="*LAB",F257="-"),"F",IF(H257&gt;69.5,"A",IF(H257&gt;59.5,"B",IF(H257&gt;49.5,"C",IF(AND(D10="*PROGRAM",H257&lt;49.5),"F",IF(H257&gt;44.5,"D",IF(H257&gt;39.5,"E","F")))))))))</f>
        <v/>
      </c>
      <c r="J257" s="7" t="str">
        <f t="shared" si="12"/>
        <v/>
      </c>
      <c r="K257" s="1"/>
    </row>
    <row r="258" ht="15.75" customHeight="1" spans="1:11">
      <c r="A258" s="7">
        <v>174</v>
      </c>
      <c r="B258" s="32"/>
      <c r="C258" s="33"/>
      <c r="D258" s="7" t="str">
        <f>IF(D11="","",IF(H258="","",D11))</f>
        <v/>
      </c>
      <c r="E258" s="7"/>
      <c r="F258" s="7"/>
      <c r="G258" s="7"/>
      <c r="H258" s="10" t="str">
        <f>IF(AND(E258="",F258="",G258=""),"",IF(SUM(E258:G258)&gt;100,"ERROR",IF(AND(E10="TEST",SUM(E258:G258)&lt;=100),SUM(E258:G258),IF(AND(E10="*TEST",F258="",E258&lt;=30,G258&lt;=70),SUM(E258:G258),IF(AND(E10="*TEST",F258&lt;=20,E258&lt;=20,G258&lt;=60),SUM(E258:G258),IF(AND(E10="*TEST",F258="-",E258&lt;=20,G258&lt;=60),SUM(E258:G258),"ERROR"))))))</f>
        <v/>
      </c>
      <c r="I258" s="7" t="str">
        <f>IF(H258="ERROR","ERROR",IF(H258="","",IF(AND(F10="*LAB",F258="-"),"F",IF(H258&gt;69.5,"A",IF(H258&gt;59.5,"B",IF(H258&gt;49.5,"C",IF(AND(D10="*PROGRAM",H258&lt;49.5),"F",IF(H258&gt;44.5,"D",IF(H258&gt;39.5,"E","F")))))))))</f>
        <v/>
      </c>
      <c r="J258" s="7" t="str">
        <f t="shared" si="12"/>
        <v/>
      </c>
      <c r="K258" s="1"/>
    </row>
    <row r="259" ht="15.75" customHeight="1" spans="1:11">
      <c r="A259" s="7">
        <v>175</v>
      </c>
      <c r="B259" s="32"/>
      <c r="C259" s="33"/>
      <c r="D259" s="7" t="str">
        <f>IF(D11="","",IF(H259="","",D11))</f>
        <v/>
      </c>
      <c r="E259" s="7"/>
      <c r="F259" s="7"/>
      <c r="G259" s="7"/>
      <c r="H259" s="10" t="str">
        <f>IF(AND(E259="",F259="",G259=""),"",IF(SUM(E259:G259)&gt;100,"ERROR",IF(AND(E10="TEST",SUM(E259:G259)&lt;=100),SUM(E259:G259),IF(AND(E10="*TEST",F259="",E259&lt;=30,G259&lt;=70),SUM(E259:G259),IF(AND(E10="*TEST",F259&lt;=20,E259&lt;=20,G259&lt;=60),SUM(E259:G259),IF(AND(E10="*TEST",F259="-",E259&lt;=20,G259&lt;=60),SUM(E259:G259),"ERROR"))))))</f>
        <v/>
      </c>
      <c r="I259" s="7" t="str">
        <f>IF(H259="ERROR","ERROR",IF(H259="","",IF(AND(F10="*LAB",F259="-"),"F",IF(H259&gt;69.5,"A",IF(H259&gt;59.5,"B",IF(H259&gt;49.5,"C",IF(AND(D10="*PROGRAM",H259&lt;49.5),"F",IF(H259&gt;44.5,"D",IF(H259&gt;39.5,"E","F")))))))))</f>
        <v/>
      </c>
      <c r="J259" s="7" t="str">
        <f t="shared" si="12"/>
        <v/>
      </c>
      <c r="K259" s="1"/>
    </row>
    <row r="260" ht="15.75" customHeight="1" spans="1:11">
      <c r="A260" s="7">
        <v>176</v>
      </c>
      <c r="B260" s="32"/>
      <c r="C260" s="33"/>
      <c r="D260" s="7" t="str">
        <f>IF(D11="","",IF(H260="","",D11))</f>
        <v/>
      </c>
      <c r="E260" s="7"/>
      <c r="F260" s="7"/>
      <c r="G260" s="7"/>
      <c r="H260" s="10" t="str">
        <f>IF(AND(E260="",F260="",G260=""),"",IF(SUM(E260:G260)&gt;100,"ERROR",IF(AND(E10="TEST",SUM(E260:G260)&lt;=100),SUM(E260:G260),IF(AND(E10="*TEST",F260="",E260&lt;=30,G260&lt;=70),SUM(E260:G260),IF(AND(E10="*TEST",F260&lt;=20,E260&lt;=20,G260&lt;=60),SUM(E260:G260),IF(AND(E10="*TEST",F260="-",E260&lt;=20,G260&lt;=60),SUM(E260:G260),"ERROR"))))))</f>
        <v/>
      </c>
      <c r="I260" s="7" t="str">
        <f>IF(H260="ERROR","ERROR",IF(H260="","",IF(AND(F10="*LAB",F260="-"),"F",IF(H260&gt;69.5,"A",IF(H260&gt;59.5,"B",IF(H260&gt;49.5,"C",IF(AND(D10="*PROGRAM",H260&lt;49.5),"F",IF(H260&gt;44.5,"D",IF(H260&gt;39.5,"E","F")))))))))</f>
        <v/>
      </c>
      <c r="J260" s="7" t="str">
        <f t="shared" si="12"/>
        <v/>
      </c>
      <c r="K260" s="1"/>
    </row>
    <row r="261" ht="15.75" customHeight="1" spans="1:11">
      <c r="A261" s="7">
        <v>177</v>
      </c>
      <c r="B261" s="32"/>
      <c r="C261" s="33"/>
      <c r="D261" s="7" t="str">
        <f>IF(D11="","",IF(H261="","",D11))</f>
        <v/>
      </c>
      <c r="E261" s="7"/>
      <c r="F261" s="7"/>
      <c r="G261" s="7"/>
      <c r="H261" s="10" t="str">
        <f>IF(AND(E261="",F261="",G261=""),"",IF(SUM(E261:G261)&gt;100,"ERROR",IF(AND(E10="TEST",SUM(E261:G261)&lt;=100),SUM(E261:G261),IF(AND(E10="*TEST",F261="",E261&lt;=30,G261&lt;=70),SUM(E261:G261),IF(AND(E10="*TEST",F261&lt;=20,E261&lt;=20,G261&lt;=60),SUM(E261:G261),IF(AND(E10="*TEST",F261="-",E261&lt;=20,G261&lt;=60),SUM(E261:G261),"ERROR"))))))</f>
        <v/>
      </c>
      <c r="I261" s="7" t="str">
        <f>IF(H261="ERROR","ERROR",IF(H261="","",IF(AND(F10="*LAB",F261="-"),"F",IF(H261&gt;69.5,"A",IF(H261&gt;59.5,"B",IF(H261&gt;49.5,"C",IF(AND(D10="*PROGRAM",H261&lt;49.5),"F",IF(H261&gt;44.5,"D",IF(H261&gt;39.5,"E","F")))))))))</f>
        <v/>
      </c>
      <c r="J261" s="7" t="str">
        <f t="shared" si="12"/>
        <v/>
      </c>
      <c r="K261" s="1"/>
    </row>
    <row r="262" ht="15.75" customHeight="1" spans="1:11">
      <c r="A262" s="7">
        <v>178</v>
      </c>
      <c r="B262" s="32"/>
      <c r="C262" s="33"/>
      <c r="D262" s="7" t="str">
        <f>IF(D11="","",IF(H262="","",D11))</f>
        <v/>
      </c>
      <c r="E262" s="7"/>
      <c r="F262" s="7"/>
      <c r="G262" s="7"/>
      <c r="H262" s="10" t="str">
        <f>IF(AND(E262="",F262="",G262=""),"",IF(SUM(E262:G262)&gt;100,"ERROR",IF(AND(E10="TEST",SUM(E262:G262)&lt;=100),SUM(E262:G262),IF(AND(E10="*TEST",F262="",E262&lt;=30,G262&lt;=70),SUM(E262:G262),IF(AND(E10="*TEST",F262&lt;=20,E262&lt;=20,G262&lt;=60),SUM(E262:G262),IF(AND(E10="*TEST",F262="-",E262&lt;=20,G262&lt;=60),SUM(E262:G262),"ERROR"))))))</f>
        <v/>
      </c>
      <c r="I262" s="7" t="str">
        <f>IF(H262="ERROR","ERROR",IF(H262="","",IF(AND(F10="*LAB",F262="-"),"F",IF(H262&gt;69.5,"A",IF(H262&gt;59.5,"B",IF(H262&gt;49.5,"C",IF(AND(D10="*PROGRAM",H262&lt;49.5),"F",IF(H262&gt;44.5,"D",IF(H262&gt;39.5,"E","F")))))))))</f>
        <v/>
      </c>
      <c r="J262" s="7" t="str">
        <f t="shared" si="12"/>
        <v/>
      </c>
      <c r="K262" s="1"/>
    </row>
    <row r="263" ht="15.75" customHeight="1" spans="1:11">
      <c r="A263" s="7">
        <v>179</v>
      </c>
      <c r="B263" s="32"/>
      <c r="C263" s="33"/>
      <c r="D263" s="7" t="str">
        <f>IF(D11="","",IF(H263="","",D11))</f>
        <v/>
      </c>
      <c r="E263" s="7"/>
      <c r="F263" s="7"/>
      <c r="G263" s="7"/>
      <c r="H263" s="10" t="str">
        <f>IF(AND(E263="",F263="",G263=""),"",IF(SUM(E263:G263)&gt;100,"ERROR",IF(AND(E10="TEST",SUM(E263:G263)&lt;=100),SUM(E263:G263),IF(AND(E10="*TEST",F263="",E263&lt;=30,G263&lt;=70),SUM(E263:G263),IF(AND(E10="*TEST",F263&lt;=20,E263&lt;=20,G263&lt;=60),SUM(E263:G263),IF(AND(E10="*TEST",F263="-",E263&lt;=20,G263&lt;=60),SUM(E263:G263),"ERROR"))))))</f>
        <v/>
      </c>
      <c r="I263" s="7" t="str">
        <f>IF(H263="ERROR","ERROR",IF(H263="","",IF(AND(F10="*LAB",F263="-"),"F",IF(H263&gt;69.5,"A",IF(H263&gt;59.5,"B",IF(H263&gt;49.5,"C",IF(AND(D10="*PROGRAM",H263&lt;49.5),"F",IF(H263&gt;44.5,"D",IF(H263&gt;39.5,"E","F")))))))))</f>
        <v/>
      </c>
      <c r="J263" s="7" t="str">
        <f t="shared" si="12"/>
        <v/>
      </c>
      <c r="K263" s="1"/>
    </row>
    <row r="264" ht="15.75" customHeight="1" spans="1:11">
      <c r="A264" s="7">
        <v>180</v>
      </c>
      <c r="B264" s="32"/>
      <c r="C264" s="33"/>
      <c r="D264" s="7" t="str">
        <f>IF(D11="","",IF(H264="","",D11))</f>
        <v/>
      </c>
      <c r="E264" s="7"/>
      <c r="F264" s="7"/>
      <c r="G264" s="7"/>
      <c r="H264" s="10" t="str">
        <f>IF(AND(E264="",F264="",G264=""),"",IF(SUM(E264:G264)&gt;100,"ERROR",IF(AND(E10="TEST",SUM(E264:G264)&lt;=100),SUM(E264:G264),IF(AND(E10="*TEST",F264="",E264&lt;=30,G264&lt;=70),SUM(E264:G264),IF(AND(E10="*TEST",F264&lt;=20,E264&lt;=20,G264&lt;=60),SUM(E264:G264),IF(AND(E10="*TEST",F264="-",E264&lt;=20,G264&lt;=60),SUM(E264:G264),"ERROR"))))))</f>
        <v/>
      </c>
      <c r="I264" s="7" t="str">
        <f>IF(H264="ERROR","ERROR",IF(H264="","",IF(AND(F10="*LAB",F264="-"),"F",IF(H264&gt;69.5,"A",IF(H264&gt;59.5,"B",IF(H264&gt;49.5,"C",IF(AND(D10="*PROGRAM",H264&lt;49.5),"F",IF(H264&gt;44.5,"D",IF(H264&gt;39.5,"E","F")))))))))</f>
        <v/>
      </c>
      <c r="J264" s="7" t="str">
        <f t="shared" si="12"/>
        <v/>
      </c>
      <c r="K264" s="1"/>
    </row>
    <row r="265" ht="15.75" customHeight="1" spans="1:11">
      <c r="A265" s="7">
        <v>181</v>
      </c>
      <c r="B265" s="32"/>
      <c r="C265" s="33"/>
      <c r="D265" s="7" t="str">
        <f>IF(D11="","",IF(H265="","",D11))</f>
        <v/>
      </c>
      <c r="E265" s="7"/>
      <c r="F265" s="7"/>
      <c r="G265" s="7"/>
      <c r="H265" s="10" t="str">
        <f>IF(AND(E265="",F265="",G265=""),"",IF(SUM(E265:G265)&gt;100,"ERROR",IF(AND(E10="TEST",SUM(E265:G265)&lt;=100),SUM(E265:G265),IF(AND(E10="*TEST",F265="",E265&lt;=30,G265&lt;=70),SUM(E265:G265),IF(AND(E10="*TEST",F265&lt;=20,E265&lt;=20,G265&lt;=60),SUM(E265:G265),IF(AND(E10="*TEST",F265="-",E265&lt;=20,G265&lt;=60),SUM(E265:G265),"ERROR"))))))</f>
        <v/>
      </c>
      <c r="I265" s="7" t="str">
        <f>IF(H265="ERROR","ERROR",IF(H265="","",IF(AND(F10="*LAB",F265="-"),"F",IF(H265&gt;69.5,"A",IF(H265&gt;59.5,"B",IF(H265&gt;49.5,"C",IF(AND(D10="*PROGRAM",H265&lt;49.5),"F",IF(H265&gt;44.5,"D",IF(H265&gt;39.5,"E","F")))))))))</f>
        <v/>
      </c>
      <c r="J265" s="7" t="str">
        <f t="shared" si="12"/>
        <v/>
      </c>
      <c r="K265" s="1"/>
    </row>
    <row r="266" ht="15.75" customHeight="1" spans="1:11">
      <c r="A266" s="7">
        <v>182</v>
      </c>
      <c r="B266" s="32"/>
      <c r="C266" s="33"/>
      <c r="D266" s="7" t="str">
        <f>IF(D11="","",IF(H266="","",D11))</f>
        <v/>
      </c>
      <c r="E266" s="7"/>
      <c r="F266" s="7"/>
      <c r="G266" s="7"/>
      <c r="H266" s="10" t="str">
        <f>IF(AND(E266="",F266="",G266=""),"",IF(SUM(E266:G266)&gt;100,"ERROR",IF(AND(E10="TEST",SUM(E266:G266)&lt;=100),SUM(E266:G266),IF(AND(E10="*TEST",F266="",E266&lt;=30,G266&lt;=70),SUM(E266:G266),IF(AND(E10="*TEST",F266&lt;=20,E266&lt;=20,G266&lt;=60),SUM(E266:G266),IF(AND(E10="*TEST",F266="-",E266&lt;=20,G266&lt;=60),SUM(E266:G266),"ERROR"))))))</f>
        <v/>
      </c>
      <c r="I266" s="7" t="str">
        <f>IF(H266="ERROR","ERROR",IF(H266="","",IF(AND(F10="*LAB",F266="-"),"F",IF(H266&gt;69.5,"A",IF(H266&gt;59.5,"B",IF(H266&gt;49.5,"C",IF(AND(D10="*PROGRAM",H266&lt;49.5),"F",IF(H266&gt;44.5,"D",IF(H266&gt;39.5,"E","F")))))))))</f>
        <v/>
      </c>
      <c r="J266" s="7" t="str">
        <f t="shared" si="12"/>
        <v/>
      </c>
      <c r="K266" s="1"/>
    </row>
    <row r="267" ht="15.75" customHeight="1" spans="1:11">
      <c r="A267" s="7">
        <v>183</v>
      </c>
      <c r="B267" s="32"/>
      <c r="C267" s="33"/>
      <c r="D267" s="7" t="str">
        <f>IF(D11="","",IF(H267="","",D11))</f>
        <v/>
      </c>
      <c r="E267" s="7"/>
      <c r="F267" s="7"/>
      <c r="G267" s="7"/>
      <c r="H267" s="10" t="str">
        <f>IF(AND(E267="",F267="",G267=""),"",IF(SUM(E267:G267)&gt;100,"ERROR",IF(AND(E10="TEST",SUM(E267:G267)&lt;=100),SUM(E267:G267),IF(AND(E10="*TEST",F267="",E267&lt;=30,G267&lt;=70),SUM(E267:G267),IF(AND(E10="*TEST",F267&lt;=20,E267&lt;=20,G267&lt;=60),SUM(E267:G267),IF(AND(E10="*TEST",F267="-",E267&lt;=20,G267&lt;=60),SUM(E267:G267),"ERROR"))))))</f>
        <v/>
      </c>
      <c r="I267" s="7" t="str">
        <f>IF(H267="ERROR","ERROR",IF(H267="","",IF(AND(F10="*LAB",F267="-"),"F",IF(H267&gt;69.5,"A",IF(H267&gt;59.5,"B",IF(H267&gt;49.5,"C",IF(AND(D10="*PROGRAM",H267&lt;49.5),"F",IF(H267&gt;44.5,"D",IF(H267&gt;39.5,"E","F")))))))))</f>
        <v/>
      </c>
      <c r="J267" s="7" t="str">
        <f t="shared" si="12"/>
        <v/>
      </c>
      <c r="K267" s="1"/>
    </row>
    <row r="268" ht="15.75" customHeight="1" spans="1:11">
      <c r="A268" s="7">
        <v>184</v>
      </c>
      <c r="B268" s="32"/>
      <c r="C268" s="34"/>
      <c r="D268" s="7" t="str">
        <f>IF(D11="","",IF(H268="","",D11))</f>
        <v/>
      </c>
      <c r="E268" s="7"/>
      <c r="F268" s="7"/>
      <c r="G268" s="7"/>
      <c r="H268" s="10" t="str">
        <f>IF(AND(E268="",F268="",G268=""),"",IF(SUM(E268:G268)&gt;100,"ERROR",IF(AND(E10="TEST",SUM(E268:G268)&lt;=100),SUM(E268:G268),IF(AND(E10="*TEST",F268="",E268&lt;=30,G268&lt;=70),SUM(E268:G268),IF(AND(E10="*TEST",F268&lt;=20,E268&lt;=20,G268&lt;=60),SUM(E268:G268),IF(AND(E10="*TEST",F268="-",E268&lt;=20,G268&lt;=60),SUM(E268:G268),"ERROR"))))))</f>
        <v/>
      </c>
      <c r="I268" s="7" t="str">
        <f>IF(H268="ERROR","ERROR",IF(H268="","",IF(AND(F10="*LAB",F268="-"),"F",IF(H268&gt;69.5,"A",IF(H268&gt;59.5,"B",IF(H268&gt;49.5,"C",IF(AND(D10="*PROGRAM",H268&lt;49.5),"F",IF(H268&gt;44.5,"D",IF(H268&gt;39.5,"E","F")))))))))</f>
        <v/>
      </c>
      <c r="J268" s="7" t="str">
        <f t="shared" si="12"/>
        <v/>
      </c>
      <c r="K268" s="1"/>
    </row>
    <row r="269" ht="15.75" customHeight="1" spans="1:11">
      <c r="A269" s="7">
        <v>185</v>
      </c>
      <c r="B269" s="32"/>
      <c r="C269" s="33"/>
      <c r="D269" s="7" t="str">
        <f>IF(D11="","",IF(H269="","",D11))</f>
        <v/>
      </c>
      <c r="E269" s="7"/>
      <c r="F269" s="7"/>
      <c r="G269" s="7"/>
      <c r="H269" s="10" t="str">
        <f>IF(AND(E269="",F269="",G269=""),"",IF(SUM(E269:G269)&gt;100,"ERROR",IF(AND(E10="TEST",SUM(E269:G269)&lt;=100),SUM(E269:G269),IF(AND(E10="*TEST",F269="",E269&lt;=30,G269&lt;=70),SUM(E269:G269),IF(AND(E10="*TEST",F269&lt;=20,E269&lt;=20,G269&lt;=60),SUM(E269:G269),IF(AND(E10="*TEST",F269="-",E269&lt;=20,G269&lt;=60),SUM(E269:G269),"ERROR"))))))</f>
        <v/>
      </c>
      <c r="I269" s="7" t="str">
        <f>IF(H269="ERROR","ERROR",IF(H269="","",IF(AND(F10="*LAB",F269="-"),"F",IF(H269&gt;69.5,"A",IF(H269&gt;59.5,"B",IF(H269&gt;49.5,"C",IF(AND(D10="*PROGRAM",H269&lt;49.5),"F",IF(H269&gt;44.5,"D",IF(H269&gt;39.5,"E","F")))))))))</f>
        <v/>
      </c>
      <c r="J269" s="7" t="str">
        <f t="shared" si="12"/>
        <v/>
      </c>
      <c r="K269" s="1"/>
    </row>
    <row r="270" ht="15.75" customHeight="1" spans="1:11">
      <c r="A270" s="7">
        <v>186</v>
      </c>
      <c r="B270" s="32"/>
      <c r="C270" s="33"/>
      <c r="D270" s="7" t="str">
        <f>IF(D11="","",IF(H270="","",D11))</f>
        <v/>
      </c>
      <c r="E270" s="7"/>
      <c r="F270" s="7"/>
      <c r="G270" s="7"/>
      <c r="H270" s="10" t="str">
        <f>IF(AND(E270="",F270="",G270=""),"",IF(SUM(E270:G270)&gt;100,"ERROR",IF(AND(E10="TEST",SUM(E270:G270)&lt;=100),SUM(E270:G270),IF(AND(E10="*TEST",F270="",E270&lt;=30,G270&lt;=70),SUM(E270:G270),IF(AND(E10="*TEST",F270&lt;=20,E270&lt;=20,G270&lt;=60),SUM(E270:G270),IF(AND(E10="*TEST",F270="-",E270&lt;=20,G270&lt;=60),SUM(E270:G270),"ERROR"))))))</f>
        <v/>
      </c>
      <c r="I270" s="7" t="str">
        <f>IF(H270="ERROR","ERROR",IF(H270="","",IF(AND(F10="*LAB",F270="-"),"F",IF(H270&gt;69.5,"A",IF(H270&gt;59.5,"B",IF(H270&gt;49.5,"C",IF(AND(D10="*PROGRAM",H270&lt;49.5),"F",IF(H270&gt;44.5,"D",IF(H270&gt;39.5,"E","F")))))))))</f>
        <v/>
      </c>
      <c r="J270" s="7" t="str">
        <f t="shared" si="12"/>
        <v/>
      </c>
      <c r="K270" s="1"/>
    </row>
    <row r="271" ht="15.75" customHeight="1" spans="1:11">
      <c r="A271" s="7">
        <v>187</v>
      </c>
      <c r="B271" s="43"/>
      <c r="C271" s="7"/>
      <c r="D271" s="7" t="str">
        <f>IF(D11="","",IF(H271="","",D11))</f>
        <v/>
      </c>
      <c r="E271" s="7"/>
      <c r="F271" s="7"/>
      <c r="G271" s="7"/>
      <c r="H271" s="10" t="str">
        <f>IF(AND(E271="",F271="",G271=""),"",IF(SUM(E271:G271)&gt;100,"ERROR",IF(AND(E10="TEST",SUM(E271:G271)&lt;=100),SUM(E271:G271),IF(AND(E10="*TEST",F271="",E271&lt;=30,G271&lt;=70),SUM(E271:G271),IF(AND(E10="*TEST",F271&lt;=20,E271&lt;=20,G271&lt;=60),SUM(E271:G271),IF(AND(E10="*TEST",F271="-",E271&lt;=20,G271&lt;=60),SUM(E271:G271),"ERROR"))))))</f>
        <v/>
      </c>
      <c r="I271" s="7" t="str">
        <f>IF(H271="ERROR","ERROR",IF(H271="","",IF(AND(F10="*LAB",F271="-"),"F",IF(H271&gt;69.5,"A",IF(H271&gt;59.5,"B",IF(H271&gt;49.5,"C",IF(AND(D10="*PROGRAM",H271&lt;49.5),"F",IF(H271&gt;44.5,"D",IF(H271&gt;39.5,"E","F")))))))))</f>
        <v/>
      </c>
      <c r="J271" s="7" t="str">
        <f t="shared" si="12"/>
        <v/>
      </c>
      <c r="K271" s="1"/>
    </row>
    <row r="272" ht="15.75" customHeight="1" spans="1:11">
      <c r="A272" s="7">
        <v>188</v>
      </c>
      <c r="B272" s="43"/>
      <c r="C272" s="7"/>
      <c r="D272" s="7" t="str">
        <f>IF(D11="","",IF(H272="","",D11))</f>
        <v/>
      </c>
      <c r="E272" s="7"/>
      <c r="F272" s="7"/>
      <c r="G272" s="7"/>
      <c r="H272" s="10" t="str">
        <f>IF(AND(E272="",F272="",G272=""),"",IF(SUM(E272:G272)&gt;100,"ERROR",IF(AND(E10="TEST",SUM(E272:G272)&lt;=100),SUM(E272:G272),IF(AND(E10="*TEST",F272="",E272&lt;=30,G272&lt;=70),SUM(E272:G272),IF(AND(E10="*TEST",F272&lt;=20,E272&lt;=20,G272&lt;=60),SUM(E272:G272),IF(AND(E10="*TEST",F272="-",E272&lt;=20,G272&lt;=60),SUM(E272:G272),"ERROR"))))))</f>
        <v/>
      </c>
      <c r="I272" s="7" t="str">
        <f>IF(H272="ERROR","ERROR",IF(H272="","",IF(AND(F10="*LAB",F272="-"),"F",IF(H272&gt;69.5,"A",IF(H272&gt;59.5,"B",IF(H272&gt;49.5,"C",IF(AND(D10="*PROGRAM",H272&lt;49.5),"F",IF(H272&gt;44.5,"D",IF(H272&gt;39.5,"E","F")))))))))</f>
        <v/>
      </c>
      <c r="J272" s="7" t="str">
        <f t="shared" si="12"/>
        <v/>
      </c>
      <c r="K272" s="1"/>
    </row>
    <row r="273" ht="15.75" customHeight="1" spans="1:11">
      <c r="A273" s="7">
        <v>189</v>
      </c>
      <c r="B273" s="43"/>
      <c r="C273" s="7"/>
      <c r="D273" s="7" t="str">
        <f>IF(D11="","",IF(H273="","",D11))</f>
        <v/>
      </c>
      <c r="E273" s="7"/>
      <c r="F273" s="7"/>
      <c r="G273" s="7"/>
      <c r="H273" s="10" t="str">
        <f>IF(AND(E273="",F273="",G273=""),"",IF(SUM(E273:G273)&gt;100,"ERROR",IF(AND(E10="TEST",SUM(E273:G273)&lt;=100),SUM(E273:G273),IF(AND(E10="*TEST",F273="",E273&lt;=30,G273&lt;=70),SUM(E273:G273),IF(AND(E10="*TEST",F273&lt;=20,E273&lt;=20,G273&lt;=60),SUM(E273:G273),IF(AND(E10="*TEST",F273="-",E273&lt;=20,G273&lt;=60),SUM(E273:G273),"ERROR"))))))</f>
        <v/>
      </c>
      <c r="I273" s="7" t="str">
        <f>IF(H273="ERROR","ERROR",IF(H273="","",IF(AND(F10="*LAB",F273="-"),"F",IF(H273&gt;69.5,"A",IF(H273&gt;59.5,"B",IF(H273&gt;49.5,"C",IF(AND(D10="*PROGRAM",H273&lt;49.5),"F",IF(H273&gt;44.5,"D",IF(H273&gt;39.5,"E","F")))))))))</f>
        <v/>
      </c>
      <c r="J273" s="7" t="str">
        <f t="shared" si="12"/>
        <v/>
      </c>
      <c r="K273" s="1"/>
    </row>
    <row r="274" ht="15.75" customHeight="1" spans="1:11">
      <c r="A274" s="7">
        <v>190</v>
      </c>
      <c r="B274" s="43"/>
      <c r="C274" s="7"/>
      <c r="D274" s="7" t="str">
        <f>IF(D11="","",IF(H274="","",D11))</f>
        <v/>
      </c>
      <c r="E274" s="7"/>
      <c r="F274" s="7"/>
      <c r="G274" s="7"/>
      <c r="H274" s="10" t="str">
        <f>IF(AND(E274="",F274="",G274=""),"",IF(SUM(E274:G274)&gt;100,"ERROR",IF(AND(E10="TEST",SUM(E274:G274)&lt;=100),SUM(E274:G274),IF(AND(E10="*TEST",F274="",E274&lt;=30,G274&lt;=70),SUM(E274:G274),IF(AND(E10="*TEST",F274&lt;=20,E274&lt;=20,G274&lt;=60),SUM(E274:G274),IF(AND(E10="*TEST",F274="-",E274&lt;=20,G274&lt;=60),SUM(E274:G274),"ERROR"))))))</f>
        <v/>
      </c>
      <c r="I274" s="7" t="str">
        <f>IF(H274="ERROR","ERROR",IF(H274="","",IF(AND(F10="*LAB",F274="-"),"F",IF(H274&gt;69.5,"A",IF(H274&gt;59.5,"B",IF(H274&gt;49.5,"C",IF(AND(D10="*PROGRAM",H274&lt;49.5),"F",IF(H274&gt;44.5,"D",IF(H274&gt;39.5,"E","F")))))))))</f>
        <v/>
      </c>
      <c r="J274" s="7" t="str">
        <f t="shared" si="12"/>
        <v/>
      </c>
      <c r="K274" s="1"/>
    </row>
    <row r="275" ht="15.75" customHeight="1" spans="1:11">
      <c r="A275" s="7">
        <v>191</v>
      </c>
      <c r="B275" s="43"/>
      <c r="C275" s="7"/>
      <c r="D275" s="7" t="str">
        <f>IF(D11="","",IF(H275="","",D11))</f>
        <v/>
      </c>
      <c r="E275" s="7"/>
      <c r="F275" s="7"/>
      <c r="G275" s="7"/>
      <c r="H275" s="10" t="str">
        <f>IF(AND(E275="",F275="",G275=""),"",IF(SUM(E275:G275)&gt;100,"ERROR",IF(AND(E10="TEST",SUM(E275:G275)&lt;=100),SUM(E275:G275),IF(AND(E10="*TEST",F275="",E275&lt;=30,G275&lt;=70),SUM(E275:G275),IF(AND(E10="*TEST",F275&lt;=20,E275&lt;=20,G275&lt;=60),SUM(E275:G275),IF(AND(E10="*TEST",F275="-",E275&lt;=20,G275&lt;=60),SUM(E275:G275),"ERROR"))))))</f>
        <v/>
      </c>
      <c r="I275" s="7" t="str">
        <f>IF(H275="ERROR","ERROR",IF(H275="","",IF(AND(F10="*LAB",F275="-"),"F",IF(H275&gt;69.5,"A",IF(H275&gt;59.5,"B",IF(H275&gt;49.5,"C",IF(AND(D10="*PROGRAM",H275&lt;49.5),"F",IF(H275&gt;44.5,"D",IF(H275&gt;39.5,"E","F")))))))))</f>
        <v/>
      </c>
      <c r="J275" s="7" t="str">
        <f t="shared" si="12"/>
        <v/>
      </c>
      <c r="K275" s="1"/>
    </row>
    <row r="276" ht="15.75" customHeight="1" spans="1:11">
      <c r="A276" s="7">
        <v>192</v>
      </c>
      <c r="B276" s="43"/>
      <c r="C276" s="7"/>
      <c r="D276" s="7" t="str">
        <f>IF(D11="","",IF(H276="","",D11))</f>
        <v/>
      </c>
      <c r="E276" s="7"/>
      <c r="F276" s="7"/>
      <c r="G276" s="7"/>
      <c r="H276" s="10" t="str">
        <f>IF(AND(E276="",F276="",G276=""),"",IF(SUM(E276:G276)&gt;100,"ERROR",IF(AND(E10="TEST",SUM(E276:G276)&lt;=100),SUM(E276:G276),IF(AND(E10="*TEST",F276="",E276&lt;=30,G276&lt;=70),SUM(E276:G276),IF(AND(E10="*TEST",F276&lt;=20,E276&lt;=20,G276&lt;=60),SUM(E276:G276),IF(AND(E10="*TEST",F276="-",E276&lt;=20,G276&lt;=60),SUM(E276:G276),"ERROR"))))))</f>
        <v/>
      </c>
      <c r="I276" s="7" t="str">
        <f>IF(H276="ERROR","ERROR",IF(H276="","",IF(AND(F10="*LAB",F276="-"),"F",IF(H276&gt;69.5,"A",IF(H276&gt;59.5,"B",IF(H276&gt;49.5,"C",IF(AND(D10="*PROGRAM",H276&lt;49.5),"F",IF(H276&gt;44.5,"D",IF(H276&gt;39.5,"E","F")))))))))</f>
        <v/>
      </c>
      <c r="J276" s="7" t="str">
        <f t="shared" si="12"/>
        <v/>
      </c>
      <c r="K276" s="1"/>
    </row>
    <row r="277" ht="15.75" customHeight="1" spans="1:11">
      <c r="A277" s="7">
        <v>193</v>
      </c>
      <c r="B277" s="43"/>
      <c r="C277" s="7"/>
      <c r="D277" s="7" t="str">
        <f>IF(D11="","",IF(H277="","",D11))</f>
        <v/>
      </c>
      <c r="E277" s="7"/>
      <c r="F277" s="7"/>
      <c r="G277" s="7"/>
      <c r="H277" s="10" t="str">
        <f>IF(AND(E277="",F277="",G277=""),"",IF(SUM(E277:G277)&gt;100,"ERROR",IF(AND(E10="TEST",SUM(E277:G277)&lt;=100),SUM(E277:G277),IF(AND(E10="*TEST",F277="",E277&lt;=30,G277&lt;=70),SUM(E277:G277),IF(AND(E10="*TEST",F277&lt;=20,E277&lt;=20,G277&lt;=60),SUM(E277:G277),IF(AND(E10="*TEST",F277="-",E277&lt;=20,G277&lt;=60),SUM(E277:G277),"ERROR"))))))</f>
        <v/>
      </c>
      <c r="I277" s="7" t="str">
        <f>IF(H277="ERROR","ERROR",IF(H277="","",IF(AND(F10="*LAB",F277="-"),"F",IF(H277&gt;69.5,"A",IF(H277&gt;59.5,"B",IF(H277&gt;49.5,"C",IF(AND(D10="*PROGRAM",H277&lt;49.5),"F",IF(H277&gt;44.5,"D",IF(H277&gt;39.5,"E","F")))))))))</f>
        <v/>
      </c>
      <c r="J277" s="7" t="str">
        <f t="shared" si="12"/>
        <v/>
      </c>
      <c r="K277" s="1"/>
    </row>
    <row r="278" ht="15.75" customHeight="1" spans="1:11">
      <c r="A278" s="7">
        <v>194</v>
      </c>
      <c r="B278" s="43"/>
      <c r="C278" s="7"/>
      <c r="D278" s="7" t="str">
        <f>IF(D11="","",IF(H278="","",D11))</f>
        <v/>
      </c>
      <c r="E278" s="7"/>
      <c r="F278" s="7"/>
      <c r="G278" s="7"/>
      <c r="H278" s="10" t="str">
        <f>IF(AND(E278="",F278="",G278=""),"",IF(SUM(E278:G278)&gt;100,"ERROR",IF(AND(E10="TEST",SUM(E278:G278)&lt;=100),SUM(E278:G278),IF(AND(E10="*TEST",F278="",E278&lt;=30,G278&lt;=70),SUM(E278:G278),IF(AND(E10="*TEST",F278&lt;=20,E278&lt;=20,G278&lt;=60),SUM(E278:G278),IF(AND(E10="*TEST",F278="-",E278&lt;=20,G278&lt;=60),SUM(E278:G278),"ERROR"))))))</f>
        <v/>
      </c>
      <c r="I278" s="7" t="str">
        <f>IF(H278="ERROR","ERROR",IF(H278="","",IF(AND(F10="*LAB",F278="-"),"F",IF(H278&gt;69.5,"A",IF(H278&gt;59.5,"B",IF(H278&gt;49.5,"C",IF(AND(D10="*PROGRAM",H278&lt;49.5),"F",IF(H278&gt;44.5,"D",IF(H278&gt;39.5,"E","F")))))))))</f>
        <v/>
      </c>
      <c r="J278" s="7" t="str">
        <f t="shared" si="12"/>
        <v/>
      </c>
      <c r="K278" s="1"/>
    </row>
    <row r="279" ht="15.75" customHeight="1" spans="1:11">
      <c r="A279" s="7">
        <v>195</v>
      </c>
      <c r="B279" s="43"/>
      <c r="C279" s="7"/>
      <c r="D279" s="7" t="str">
        <f>IF(D11="","",IF(H279="","",D11))</f>
        <v/>
      </c>
      <c r="E279" s="7"/>
      <c r="F279" s="7"/>
      <c r="G279" s="7"/>
      <c r="H279" s="10" t="str">
        <f>IF(AND(E279="",F279="",G279=""),"",IF(SUM(E279:G279)&gt;100,"ERROR",IF(AND(E10="TEST",SUM(E279:G279)&lt;=100),SUM(E279:G279),IF(AND(E10="*TEST",F279="",E279&lt;=30,G279&lt;=70),SUM(E279:G279),IF(AND(E10="*TEST",F279&lt;=20,E279&lt;=20,G279&lt;=60),SUM(E279:G279),IF(AND(E10="*TEST",F279="-",E279&lt;=20,G279&lt;=60),SUM(E279:G279),"ERROR"))))))</f>
        <v/>
      </c>
      <c r="I279" s="7" t="str">
        <f>IF(H279="ERROR","ERROR",IF(H279="","",IF(AND(F10="*LAB",F279="-"),"F",IF(H279&gt;69.5,"A",IF(H279&gt;59.5,"B",IF(H279&gt;49.5,"C",IF(AND(D10="*PROGRAM",H279&lt;49.5),"F",IF(H279&gt;44.5,"D",IF(H279&gt;39.5,"E","F")))))))))</f>
        <v/>
      </c>
      <c r="J279" s="7" t="str">
        <f t="shared" si="12"/>
        <v/>
      </c>
      <c r="K279" s="1"/>
    </row>
    <row r="280" ht="15.75" customHeight="1" spans="1:11">
      <c r="A280" s="7">
        <v>196</v>
      </c>
      <c r="B280" s="43"/>
      <c r="C280" s="7"/>
      <c r="D280" s="7" t="str">
        <f>IF(D11="","",IF(H280="","",D11))</f>
        <v/>
      </c>
      <c r="E280" s="7"/>
      <c r="F280" s="7"/>
      <c r="G280" s="7"/>
      <c r="H280" s="10" t="str">
        <f>IF(AND(E280="",F280="",G280=""),"",IF(SUM(E280:G280)&gt;100,"ERROR",IF(AND(E10="TEST",SUM(E280:G280)&lt;=100),SUM(E280:G280),IF(AND(E10="*TEST",F280="",E280&lt;=30,G280&lt;=70),SUM(E280:G280),IF(AND(E10="*TEST",F280&lt;=20,E280&lt;=20,G280&lt;=60),SUM(E280:G280),IF(AND(E10="*TEST",F280="-",E280&lt;=20,G280&lt;=60),SUM(E280:G280),"ERROR"))))))</f>
        <v/>
      </c>
      <c r="I280" s="7" t="str">
        <f>IF(H280="ERROR","ERROR",IF(H280="","",IF(AND(F10="*LAB",F280="-"),"F",IF(H280&gt;69.5,"A",IF(H280&gt;59.5,"B",IF(H280&gt;49.5,"C",IF(AND(D10="*PROGRAM",H280&lt;49.5),"F",IF(H280&gt;44.5,"D",IF(H280&gt;39.5,"E","F")))))))))</f>
        <v/>
      </c>
      <c r="J280" s="7" t="str">
        <f t="shared" si="12"/>
        <v/>
      </c>
      <c r="K280" s="1"/>
    </row>
    <row r="281" ht="15.75" customHeight="1" spans="1:11">
      <c r="A281" s="7">
        <v>197</v>
      </c>
      <c r="B281" s="43"/>
      <c r="C281" s="7"/>
      <c r="D281" s="7" t="str">
        <f>IF(D11="","",IF(H281="","",D11))</f>
        <v/>
      </c>
      <c r="E281" s="7"/>
      <c r="F281" s="7"/>
      <c r="G281" s="7"/>
      <c r="H281" s="10" t="str">
        <f>IF(AND(E281="",F281="",G281=""),"",IF(SUM(E281:G281)&gt;100,"ERROR",IF(AND(E10="TEST",SUM(E281:G281)&lt;=100),SUM(E281:G281),IF(AND(E10="*TEST",F281="",E281&lt;=30,G281&lt;=70),SUM(E281:G281),IF(AND(E10="*TEST",F281&lt;=20,E281&lt;=20,G281&lt;=60),SUM(E281:G281),IF(AND(E10="*TEST",F281="-",E281&lt;=20,G281&lt;=60),SUM(E281:G281),"ERROR"))))))</f>
        <v/>
      </c>
      <c r="I281" s="7" t="str">
        <f>IF(H281="ERROR","ERROR",IF(H281="","",IF(AND(F10="*LAB",F281="-"),"F",IF(H281&gt;69.5,"A",IF(H281&gt;59.5,"B",IF(H281&gt;49.5,"C",IF(AND(D10="*PROGRAM",H281&lt;49.5),"F",IF(H281&gt;44.5,"D",IF(H281&gt;39.5,"E","F")))))))))</f>
        <v/>
      </c>
      <c r="J281" s="7" t="str">
        <f t="shared" si="12"/>
        <v/>
      </c>
      <c r="K281" s="1"/>
    </row>
    <row r="282" ht="15.75" customHeight="1" spans="1:11">
      <c r="A282" s="7">
        <v>198</v>
      </c>
      <c r="B282" s="43"/>
      <c r="C282" s="7"/>
      <c r="D282" s="7" t="str">
        <f>IF(D11="","",IF(H282="","",D11))</f>
        <v/>
      </c>
      <c r="E282" s="7"/>
      <c r="F282" s="7"/>
      <c r="G282" s="7"/>
      <c r="H282" s="10" t="str">
        <f>IF(AND(E282="",F282="",G282=""),"",IF(SUM(E282:G282)&gt;100,"ERROR",IF(AND(E10="TEST",SUM(E282:G282)&lt;=100),SUM(E282:G282),IF(AND(E10="*TEST",F282="",E282&lt;=30,G282&lt;=70),SUM(E282:G282),IF(AND(E10="*TEST",F282&lt;=20,E282&lt;=20,G282&lt;=60),SUM(E282:G282),IF(AND(E10="*TEST",F282="-",E282&lt;=20,G282&lt;=60),SUM(E282:G282),"ERROR"))))))</f>
        <v/>
      </c>
      <c r="I282" s="7" t="str">
        <f>IF(H282="ERROR","ERROR",IF(H282="","",IF(AND(F10="*LAB",F282="-"),"F",IF(H282&gt;69.5,"A",IF(H282&gt;59.5,"B",IF(H282&gt;49.5,"C",IF(AND(D10="*PROGRAM",H282&lt;49.5),"F",IF(H282&gt;44.5,"D",IF(H282&gt;39.5,"E","F")))))))))</f>
        <v/>
      </c>
      <c r="J282" s="7" t="str">
        <f t="shared" si="12"/>
        <v/>
      </c>
      <c r="K282" s="1"/>
    </row>
    <row r="283" ht="15.75" customHeight="1" spans="1:11">
      <c r="A283" s="7">
        <v>199</v>
      </c>
      <c r="B283" s="43"/>
      <c r="C283" s="7"/>
      <c r="D283" s="7" t="str">
        <f>IF(D11="","",IF(H283="","",D11))</f>
        <v/>
      </c>
      <c r="E283" s="7"/>
      <c r="F283" s="7"/>
      <c r="G283" s="7"/>
      <c r="H283" s="10" t="str">
        <f>IF(AND(E283="",F283="",G283=""),"",IF(SUM(E283:G283)&gt;100,"ERROR",IF(AND(E10="TEST",SUM(E283:G283)&lt;=100),SUM(E283:G283),IF(AND(E10="*TEST",F283="",E283&lt;=30,G283&lt;=70),SUM(E283:G283),IF(AND(E10="*TEST",F283&lt;=20,E283&lt;=20,G283&lt;=60),SUM(E283:G283),IF(AND(E10="*TEST",F283="-",E283&lt;=20,G283&lt;=60),SUM(E283:G283),"ERROR"))))))</f>
        <v/>
      </c>
      <c r="I283" s="7" t="str">
        <f>IF(H283="ERROR","ERROR",IF(H283="","",IF(AND(F10="*LAB",F283="-"),"F",IF(H283&gt;69.5,"A",IF(H283&gt;59.5,"B",IF(H283&gt;49.5,"C",IF(AND(D10="*PROGRAM",H283&lt;49.5),"F",IF(H283&gt;44.5,"D",IF(H283&gt;39.5,"E","F")))))))))</f>
        <v/>
      </c>
      <c r="J283" s="7" t="str">
        <f t="shared" si="12"/>
        <v/>
      </c>
      <c r="K283" s="1"/>
    </row>
    <row r="284" ht="15.75" customHeight="1" spans="1:11">
      <c r="A284" s="7">
        <v>200</v>
      </c>
      <c r="B284" s="43"/>
      <c r="C284" s="7"/>
      <c r="D284" s="7" t="str">
        <f>IF(D11="","",IF(H284="","",D11))</f>
        <v/>
      </c>
      <c r="E284" s="7"/>
      <c r="F284" s="7"/>
      <c r="G284" s="7"/>
      <c r="H284" s="10" t="str">
        <f>IF(AND(E284="",F284="",G284=""),"",IF(SUM(E284:G284)&gt;100,"ERROR",IF(AND(E10="TEST",SUM(E284:G284)&lt;=100),SUM(E284:G284),IF(AND(E10="*TEST",F284="",E284&lt;=30,G284&lt;=70),SUM(E284:G284),IF(AND(E10="*TEST",F284&lt;=20,E284&lt;=20,G284&lt;=60),SUM(E284:G284),IF(AND(E10="*TEST",F284="-",E284&lt;=20,G284&lt;=60),SUM(E284:G284),"ERROR"))))))</f>
        <v/>
      </c>
      <c r="I284" s="7" t="str">
        <f>IF(H284="ERROR","ERROR",IF(H284="","",IF(AND(F10="*LAB",F284="-"),"F",IF(H284&gt;69.5,"A",IF(H284&gt;59.5,"B",IF(H284&gt;49.5,"C",IF(AND(D10="*PROGRAM",H284&lt;49.5),"F",IF(H284&gt;44.5,"D",IF(H284&gt;39.5,"E","F")))))))))</f>
        <v/>
      </c>
      <c r="J284" s="7" t="str">
        <f t="shared" si="12"/>
        <v/>
      </c>
      <c r="K284" s="1"/>
    </row>
    <row r="285" ht="24.75" customHeight="1" spans="1:11">
      <c r="A285" s="1"/>
      <c r="B285" s="44"/>
      <c r="C285" s="1"/>
      <c r="D285" s="1"/>
      <c r="E285" s="1"/>
      <c r="F285" s="1"/>
      <c r="G285" s="13"/>
      <c r="H285" s="14"/>
      <c r="I285" s="14"/>
      <c r="J285" s="14"/>
      <c r="K285" s="1"/>
    </row>
    <row r="286" ht="15.75" customHeight="1" spans="1:11">
      <c r="A286" s="1"/>
      <c r="B286" s="15" t="s">
        <v>60</v>
      </c>
      <c r="C286" s="13"/>
      <c r="D286" s="13"/>
      <c r="E286" s="13"/>
      <c r="F286" s="13"/>
      <c r="G286" s="16" t="s">
        <v>61</v>
      </c>
      <c r="H286" s="17"/>
      <c r="I286" s="17"/>
      <c r="J286" s="17"/>
      <c r="K286" s="1"/>
    </row>
    <row r="287" ht="15.75" customHeight="1" spans="1:11">
      <c r="A287" s="1" t="str">
        <f>IF(AND(I304="",I245&lt;&gt;""),A889,"")</f>
        <v/>
      </c>
      <c r="B287" s="2" t="str">
        <f>IF(A287="","",B889)</f>
        <v/>
      </c>
      <c r="C287" s="16" t="s">
        <v>62</v>
      </c>
      <c r="D287" s="17"/>
      <c r="E287" s="17"/>
      <c r="F287" s="17"/>
      <c r="G287" s="1"/>
      <c r="H287" s="1"/>
      <c r="I287" s="1"/>
      <c r="J287" s="1"/>
      <c r="K287" s="1"/>
    </row>
    <row r="288" ht="15.75" customHeight="1" spans="1:11">
      <c r="A288" s="1" t="str">
        <f>IF(A287="","",A890)</f>
        <v/>
      </c>
      <c r="B288" s="2" t="str">
        <f>IF(A287="","",B890)</f>
        <v/>
      </c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 spans="1:11">
      <c r="A289" s="1" t="str">
        <f>IF(A287="","",A891)</f>
        <v/>
      </c>
      <c r="B289" s="2" t="str">
        <f>IF(A287="","",B891)</f>
        <v/>
      </c>
      <c r="C289" s="18" t="s">
        <v>63</v>
      </c>
      <c r="D289" s="17"/>
      <c r="E289" s="17"/>
      <c r="F289" s="17"/>
      <c r="G289" s="17"/>
      <c r="H289" s="17"/>
      <c r="I289" s="17"/>
      <c r="J289" s="24"/>
      <c r="K289" s="1"/>
    </row>
    <row r="290" ht="15.75" customHeight="1" spans="1:11">
      <c r="A290" s="1" t="str">
        <f>IF(A287="","",A892)</f>
        <v/>
      </c>
      <c r="B290" s="2" t="str">
        <f>IF(A287="","",B892)</f>
        <v/>
      </c>
      <c r="C290" s="19" t="s">
        <v>64</v>
      </c>
      <c r="F290" s="15"/>
      <c r="G290" s="15" t="s">
        <v>65</v>
      </c>
      <c r="J290" s="25"/>
      <c r="K290" s="1"/>
    </row>
    <row r="291" ht="15.75" customHeight="1" spans="1:11">
      <c r="A291" s="1" t="str">
        <f>IF(A287="","",A893)</f>
        <v/>
      </c>
      <c r="B291" s="2" t="str">
        <f>IF(A287="","",B893)</f>
        <v/>
      </c>
      <c r="C291" s="19" t="s">
        <v>66</v>
      </c>
      <c r="F291" s="15"/>
      <c r="G291" s="15" t="s">
        <v>67</v>
      </c>
      <c r="J291" s="25"/>
      <c r="K291" s="1"/>
    </row>
    <row r="292" ht="15.75" customHeight="1" spans="1:11">
      <c r="A292" s="1" t="str">
        <f>IF(A287="","",A894)</f>
        <v/>
      </c>
      <c r="B292" s="2" t="str">
        <f>IF(A287="","",B894)</f>
        <v/>
      </c>
      <c r="C292" s="20" t="s">
        <v>68</v>
      </c>
      <c r="D292" s="14"/>
      <c r="E292" s="14"/>
      <c r="F292" s="21"/>
      <c r="G292" s="21" t="s">
        <v>69</v>
      </c>
      <c r="H292" s="14"/>
      <c r="I292" s="14"/>
      <c r="J292" s="26"/>
      <c r="K292" s="1"/>
    </row>
    <row r="293" ht="15.75" customHeight="1" spans="1:11">
      <c r="A293" s="1" t="str">
        <f>IF(A287="","",A895)</f>
        <v/>
      </c>
      <c r="B293" s="22" t="str">
        <f>IF(A287="","",B895)</f>
        <v/>
      </c>
      <c r="C293" s="1"/>
      <c r="D293" s="1"/>
      <c r="E293" s="1"/>
      <c r="F293" s="1"/>
      <c r="G293" s="1"/>
      <c r="H293" s="1"/>
      <c r="I293" s="1"/>
      <c r="J293" s="27" t="s">
        <v>177</v>
      </c>
      <c r="K293" s="1"/>
    </row>
    <row r="294" ht="15.75" customHeight="1" spans="1:11">
      <c r="A294" s="23"/>
      <c r="B294" s="23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 spans="1:11">
      <c r="A295" s="1"/>
      <c r="B295" s="3" t="s">
        <v>0</v>
      </c>
      <c r="K295" s="1"/>
    </row>
    <row r="296" ht="15.75" customHeight="1" spans="1:11">
      <c r="A296" s="1"/>
      <c r="B296" s="4" t="s">
        <v>1</v>
      </c>
      <c r="K296" s="1"/>
    </row>
    <row r="297" ht="15.75" customHeight="1" spans="1:1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 spans="1:11">
      <c r="A298" s="2" t="str">
        <f t="shared" ref="A298:A301" si="13">A5</f>
        <v>School of Student: SEET</v>
      </c>
      <c r="D298" s="1"/>
      <c r="E298" s="5">
        <f t="shared" ref="E298:E301" si="14">E5</f>
        <v>0</v>
      </c>
      <c r="K298" s="1"/>
    </row>
    <row r="299" ht="15.75" customHeight="1" spans="1:11">
      <c r="A299" s="2" t="str">
        <f t="shared" si="13"/>
        <v>Department: BIOMEDICAL ENGINEERING</v>
      </c>
      <c r="D299" s="1"/>
      <c r="E299" s="5" t="str">
        <f t="shared" si="14"/>
        <v>Session: ---------------------------------</v>
      </c>
      <c r="K299" s="1"/>
    </row>
    <row r="300" ht="15.75" customHeight="1" spans="1:11">
      <c r="A300" s="2" t="str">
        <f t="shared" si="13"/>
        <v>Title of Course: ------------------------</v>
      </c>
      <c r="D300" s="1"/>
      <c r="E300" s="5" t="str">
        <f t="shared" si="14"/>
        <v>Course Code: -------------------------</v>
      </c>
      <c r="K300" s="1"/>
    </row>
    <row r="301" ht="15.75" customHeight="1" spans="1:11">
      <c r="A301" s="2" t="str">
        <f t="shared" si="13"/>
        <v>School Offering Course: ----------------------------</v>
      </c>
      <c r="D301" s="1"/>
      <c r="E301" s="5" t="str">
        <f t="shared" si="14"/>
        <v>Date: -----------------------------</v>
      </c>
      <c r="K301" s="1"/>
    </row>
    <row r="302" ht="15.75" customHeight="1" spans="1:11">
      <c r="A302" s="1"/>
      <c r="B302" s="2"/>
      <c r="C302" s="1"/>
      <c r="D302" s="5"/>
      <c r="E302" s="5"/>
      <c r="F302" s="5"/>
      <c r="G302" s="5"/>
      <c r="H302" s="5"/>
      <c r="I302" s="5"/>
      <c r="J302" s="5"/>
      <c r="K302" s="1"/>
    </row>
    <row r="303" ht="15.75" customHeight="1" spans="1:11">
      <c r="A303" s="6" t="s">
        <v>9</v>
      </c>
      <c r="B303" s="6" t="s">
        <v>10</v>
      </c>
      <c r="C303" s="6" t="s">
        <v>11</v>
      </c>
      <c r="D303" s="6" t="s">
        <v>12</v>
      </c>
      <c r="E303" s="6" t="s">
        <v>13</v>
      </c>
      <c r="F303" s="6" t="s">
        <v>14</v>
      </c>
      <c r="G303" s="6" t="s">
        <v>15</v>
      </c>
      <c r="H303" s="6" t="s">
        <v>16</v>
      </c>
      <c r="I303" s="6" t="s">
        <v>17</v>
      </c>
      <c r="J303" s="6" t="s">
        <v>18</v>
      </c>
      <c r="K303" s="1"/>
    </row>
    <row r="304" ht="15.75" customHeight="1" spans="1:11">
      <c r="A304" s="7">
        <v>201</v>
      </c>
      <c r="B304" s="43"/>
      <c r="C304" s="7"/>
      <c r="D304" s="7" t="str">
        <f>IF(D11="","",IF(H304="","",D11))</f>
        <v/>
      </c>
      <c r="E304" s="7"/>
      <c r="F304" s="7"/>
      <c r="G304" s="7"/>
      <c r="H304" s="10" t="str">
        <f>IF(AND(E304="",F304="",G304=""),"",IF(SUM(E304:G304)&gt;100,"ERROR",IF(AND(E10="TEST",SUM(E304:G304)&lt;=100),SUM(E304:G304),IF(AND(E10="*TEST",F304="",E304&lt;=30,G304&lt;=70),SUM(E304:G304),IF(AND(E10="*TEST",F304&lt;=20,E304&lt;=20,G304&lt;=60),SUM(E304:G304),IF(AND(E10="*TEST",F304="-",E304&lt;=20,G304&lt;=60),SUM(E304:G304),"ERROR"))))))</f>
        <v/>
      </c>
      <c r="I304" s="7" t="str">
        <f>IF(H304="ERROR","ERROR",IF(H304="","",IF(AND(F10="*LAB",F304="-"),"F",IF(H304&gt;69.5,"A",IF(H304&gt;59.5,"B",IF(H304&gt;49.5,"C",IF(AND(D10="*PROGRAM",H304&lt;49.5),"F",IF(H304&gt;44.5,"D",IF(H304&gt;39.5,"E","F")))))))))</f>
        <v/>
      </c>
      <c r="J304" s="7" t="str">
        <f t="shared" ref="J304:J343" si="15">IF(H304="ERROR","ERROR",IF(I304="","",IF(I304="F","FAIL","PASS")))</f>
        <v/>
      </c>
      <c r="K304" s="1"/>
    </row>
    <row r="305" ht="15.75" customHeight="1" spans="1:11">
      <c r="A305" s="7">
        <v>202</v>
      </c>
      <c r="B305" s="43"/>
      <c r="C305" s="7"/>
      <c r="D305" s="7" t="str">
        <f>IF(D11="","",IF(H305="","",D11))</f>
        <v/>
      </c>
      <c r="E305" s="7"/>
      <c r="F305" s="7"/>
      <c r="G305" s="7"/>
      <c r="H305" s="10" t="str">
        <f>IF(AND(E305="",F305="",G305=""),"",IF(SUM(E305:G305)&gt;100,"ERROR",IF(AND(E10="TEST",SUM(E305:G305)&lt;=100),SUM(E305:G305),IF(AND(E10="*TEST",F305="",E305&lt;=30,G305&lt;=70),SUM(E305:G305),IF(AND(E10="*TEST",F305&lt;=20,E305&lt;=20,G305&lt;=60),SUM(E305:G305),IF(AND(E10="*TEST",F305="-",E305&lt;=20,G305&lt;=60),SUM(E305:G305),"ERROR"))))))</f>
        <v/>
      </c>
      <c r="I305" s="7" t="str">
        <f>IF(H305="ERROR","ERROR",IF(H305="","",IF(AND(F10="*LAB",F305="-"),"F",IF(H305&gt;69.5,"A",IF(H305&gt;59.5,"B",IF(H305&gt;49.5,"C",IF(AND(D10="*PROGRAM",H305&lt;49.5),"F",IF(H305&gt;44.5,"D",IF(H305&gt;39.5,"E","F")))))))))</f>
        <v/>
      </c>
      <c r="J305" s="7" t="str">
        <f t="shared" si="15"/>
        <v/>
      </c>
      <c r="K305" s="1"/>
    </row>
    <row r="306" ht="15.75" customHeight="1" spans="1:11">
      <c r="A306" s="7">
        <v>203</v>
      </c>
      <c r="B306" s="43"/>
      <c r="C306" s="7"/>
      <c r="D306" s="7" t="str">
        <f>IF(D11="","",IF(H306="","",D11))</f>
        <v/>
      </c>
      <c r="E306" s="7"/>
      <c r="F306" s="7"/>
      <c r="G306" s="7"/>
      <c r="H306" s="10" t="str">
        <f>IF(AND(E306="",F306="",G306=""),"",IF(SUM(E306:G306)&gt;100,"ERROR",IF(AND(E10="TEST",SUM(E306:G306)&lt;=100),SUM(E306:G306),IF(AND(E10="*TEST",F306="",E306&lt;=30,G306&lt;=70),SUM(E306:G306),IF(AND(E10="*TEST",F306&lt;=20,E306&lt;=20,G306&lt;=60),SUM(E306:G306),IF(AND(E10="*TEST",F306="-",E306&lt;=20,G306&lt;=60),SUM(E306:G306),"ERROR"))))))</f>
        <v/>
      </c>
      <c r="I306" s="7" t="str">
        <f>IF(H306="ERROR","ERROR",IF(H306="","",IF(AND(F10="*LAB",F306="-"),"F",IF(H306&gt;69.5,"A",IF(H306&gt;59.5,"B",IF(H306&gt;49.5,"C",IF(AND(D10="*PROGRAM",H306&lt;49.5),"F",IF(H306&gt;44.5,"D",IF(H306&gt;39.5,"E","F")))))))))</f>
        <v/>
      </c>
      <c r="J306" s="7" t="str">
        <f t="shared" si="15"/>
        <v/>
      </c>
      <c r="K306" s="1"/>
    </row>
    <row r="307" ht="15.75" customHeight="1" spans="1:11">
      <c r="A307" s="7">
        <v>204</v>
      </c>
      <c r="B307" s="43"/>
      <c r="C307" s="7"/>
      <c r="D307" s="7" t="str">
        <f>IF(D11="","",IF(H307="","",D11))</f>
        <v/>
      </c>
      <c r="E307" s="7"/>
      <c r="F307" s="7"/>
      <c r="G307" s="7"/>
      <c r="H307" s="10" t="str">
        <f>IF(AND(E307="",F307="",G307=""),"",IF(SUM(E307:G307)&gt;100,"ERROR",IF(AND(E10="TEST",SUM(E307:G307)&lt;=100),SUM(E307:G307),IF(AND(E10="*TEST",F307="",E307&lt;=30,G307&lt;=70),SUM(E307:G307),IF(AND(E10="*TEST",F307&lt;=20,E307&lt;=20,G307&lt;=60),SUM(E307:G307),IF(AND(E10="*TEST",F307="-",E307&lt;=20,G307&lt;=60),SUM(E307:G307),"ERROR"))))))</f>
        <v/>
      </c>
      <c r="I307" s="7" t="str">
        <f>IF(H307="ERROR","ERROR",IF(H307="","",IF(AND(F10="*LAB",F307="-"),"F",IF(H307&gt;69.5,"A",IF(H307&gt;59.5,"B",IF(H307&gt;49.5,"C",IF(AND(D10="*PROGRAM",H307&lt;49.5),"F",IF(H307&gt;44.5,"D",IF(H307&gt;39.5,"E","F")))))))))</f>
        <v/>
      </c>
      <c r="J307" s="7" t="str">
        <f t="shared" si="15"/>
        <v/>
      </c>
      <c r="K307" s="1"/>
    </row>
    <row r="308" ht="15.75" customHeight="1" spans="1:11">
      <c r="A308" s="7">
        <v>205</v>
      </c>
      <c r="B308" s="43"/>
      <c r="C308" s="7"/>
      <c r="D308" s="7" t="str">
        <f>IF(D11="","",IF(H308="","",D11))</f>
        <v/>
      </c>
      <c r="E308" s="7"/>
      <c r="F308" s="7"/>
      <c r="G308" s="7"/>
      <c r="H308" s="10" t="str">
        <f>IF(AND(E308="",F308="",G308=""),"",IF(SUM(E308:G308)&gt;100,"ERROR",IF(AND(E10="TEST",SUM(E308:G308)&lt;=100),SUM(E308:G308),IF(AND(E10="*TEST",F308="",E308&lt;=30,G308&lt;=70),SUM(E308:G308),IF(AND(E10="*TEST",F308&lt;=20,E308&lt;=20,G308&lt;=60),SUM(E308:G308),IF(AND(E10="*TEST",F308="-",E308&lt;=20,G308&lt;=60),SUM(E308:G308),"ERROR"))))))</f>
        <v/>
      </c>
      <c r="I308" s="7" t="str">
        <f>IF(H308="ERROR","ERROR",IF(H308="","",IF(AND(F10="*LAB",F308="-"),"F",IF(H308&gt;69.5,"A",IF(H308&gt;59.5,"B",IF(H308&gt;49.5,"C",IF(AND(D10="*PROGRAM",H308&lt;49.5),"F",IF(H308&gt;44.5,"D",IF(H308&gt;39.5,"E","F")))))))))</f>
        <v/>
      </c>
      <c r="J308" s="7" t="str">
        <f t="shared" si="15"/>
        <v/>
      </c>
      <c r="K308" s="1"/>
    </row>
    <row r="309" ht="15.75" customHeight="1" spans="1:11">
      <c r="A309" s="7">
        <v>206</v>
      </c>
      <c r="B309" s="43"/>
      <c r="C309" s="7"/>
      <c r="D309" s="7" t="str">
        <f>IF(D11="","",IF(H309="","",D11))</f>
        <v/>
      </c>
      <c r="E309" s="7"/>
      <c r="F309" s="7"/>
      <c r="G309" s="7"/>
      <c r="H309" s="10" t="str">
        <f>IF(AND(E309="",F309="",G309=""),"",IF(SUM(E309:G309)&gt;100,"ERROR",IF(AND(E10="TEST",SUM(E309:G309)&lt;=100),SUM(E309:G309),IF(AND(E10="*TEST",F309="",E309&lt;=30,G309&lt;=70),SUM(E309:G309),IF(AND(E10="*TEST",F309&lt;=20,E309&lt;=20,G309&lt;=60),SUM(E309:G309),IF(AND(E10="*TEST",F309="-",E309&lt;=20,G309&lt;=60),SUM(E309:G309),"ERROR"))))))</f>
        <v/>
      </c>
      <c r="I309" s="7" t="str">
        <f>IF(H309="ERROR","ERROR",IF(H309="","",IF(AND(F10="*LAB",F309="-"),"F",IF(H309&gt;69.5,"A",IF(H309&gt;59.5,"B",IF(H309&gt;49.5,"C",IF(AND(D10="*PROGRAM",H309&lt;49.5),"F",IF(H309&gt;44.5,"D",IF(H309&gt;39.5,"E","F")))))))))</f>
        <v/>
      </c>
      <c r="J309" s="7" t="str">
        <f t="shared" si="15"/>
        <v/>
      </c>
      <c r="K309" s="1"/>
    </row>
    <row r="310" ht="15.75" customHeight="1" spans="1:11">
      <c r="A310" s="7">
        <v>207</v>
      </c>
      <c r="B310" s="43"/>
      <c r="C310" s="7"/>
      <c r="D310" s="7" t="str">
        <f>IF(D11="","",IF(H310="","",D11))</f>
        <v/>
      </c>
      <c r="E310" s="7"/>
      <c r="F310" s="7"/>
      <c r="G310" s="7"/>
      <c r="H310" s="10" t="str">
        <f>IF(AND(E310="",F310="",G310=""),"",IF(SUM(E310:G310)&gt;100,"ERROR",IF(AND(E10="TEST",SUM(E310:G310)&lt;=100),SUM(E310:G310),IF(AND(E10="*TEST",F310="",E310&lt;=30,G310&lt;=70),SUM(E310:G310),IF(AND(E10="*TEST",F310&lt;=20,E310&lt;=20,G310&lt;=60),SUM(E310:G310),IF(AND(E10="*TEST",F310="-",E310&lt;=20,G310&lt;=60),SUM(E310:G310),"ERROR"))))))</f>
        <v/>
      </c>
      <c r="I310" s="7" t="str">
        <f>IF(H310="ERROR","ERROR",IF(H310="","",IF(AND(F10="*LAB",F310="-"),"F",IF(H310&gt;69.5,"A",IF(H310&gt;59.5,"B",IF(H310&gt;49.5,"C",IF(AND(D10="*PROGRAM",H310&lt;49.5),"F",IF(H310&gt;44.5,"D",IF(H310&gt;39.5,"E","F")))))))))</f>
        <v/>
      </c>
      <c r="J310" s="7" t="str">
        <f t="shared" si="15"/>
        <v/>
      </c>
      <c r="K310" s="1"/>
    </row>
    <row r="311" ht="15.75" customHeight="1" spans="1:11">
      <c r="A311" s="7">
        <v>208</v>
      </c>
      <c r="B311" s="43"/>
      <c r="C311" s="7"/>
      <c r="D311" s="7" t="str">
        <f>IF(D11="","",IF(H311="","",D11))</f>
        <v/>
      </c>
      <c r="E311" s="7"/>
      <c r="F311" s="7"/>
      <c r="G311" s="7"/>
      <c r="H311" s="10" t="str">
        <f>IF(AND(E311="",F311="",G311=""),"",IF(SUM(E311:G311)&gt;100,"ERROR",IF(AND(E10="TEST",SUM(E311:G311)&lt;=100),SUM(E311:G311),IF(AND(E10="*TEST",F311="",E311&lt;=30,G311&lt;=70),SUM(E311:G311),IF(AND(E10="*TEST",F311&lt;=20,E311&lt;=20,G311&lt;=60),SUM(E311:G311),IF(AND(E10="*TEST",F311="-",E311&lt;=20,G311&lt;=60),SUM(E311:G311),"ERROR"))))))</f>
        <v/>
      </c>
      <c r="I311" s="7" t="str">
        <f>IF(H311="ERROR","ERROR",IF(H311="","",IF(AND(F10="*LAB",F311="-"),"F",IF(H311&gt;69.5,"A",IF(H311&gt;59.5,"B",IF(H311&gt;49.5,"C",IF(AND(D10="*PROGRAM",H311&lt;49.5),"F",IF(H311&gt;44.5,"D",IF(H311&gt;39.5,"E","F")))))))))</f>
        <v/>
      </c>
      <c r="J311" s="7" t="str">
        <f t="shared" si="15"/>
        <v/>
      </c>
      <c r="K311" s="1"/>
    </row>
    <row r="312" ht="15.75" customHeight="1" spans="1:11">
      <c r="A312" s="7">
        <v>209</v>
      </c>
      <c r="B312" s="43"/>
      <c r="C312" s="7"/>
      <c r="D312" s="7" t="str">
        <f>IF(D11="","",IF(H312="","",D11))</f>
        <v/>
      </c>
      <c r="E312" s="7"/>
      <c r="F312" s="7"/>
      <c r="G312" s="7"/>
      <c r="H312" s="10" t="str">
        <f>IF(AND(E312="",F312="",G312=""),"",IF(SUM(E312:G312)&gt;100,"ERROR",IF(AND(E10="TEST",SUM(E312:G312)&lt;=100),SUM(E312:G312),IF(AND(E10="*TEST",F312="",E312&lt;=30,G312&lt;=70),SUM(E312:G312),IF(AND(E10="*TEST",F312&lt;=20,E312&lt;=20,G312&lt;=60),SUM(E312:G312),IF(AND(E10="*TEST",F312="-",E312&lt;=20,G312&lt;=60),SUM(E312:G312),"ERROR"))))))</f>
        <v/>
      </c>
      <c r="I312" s="7" t="str">
        <f>IF(H312="ERROR","ERROR",IF(H312="","",IF(AND(F10="*LAB",F312="-"),"F",IF(H312&gt;69.5,"A",IF(H312&gt;59.5,"B",IF(H312&gt;49.5,"C",IF(AND(D10="*PROGRAM",H312&lt;49.5),"F",IF(H312&gt;44.5,"D",IF(H312&gt;39.5,"E","F")))))))))</f>
        <v/>
      </c>
      <c r="J312" s="7" t="str">
        <f t="shared" si="15"/>
        <v/>
      </c>
      <c r="K312" s="1"/>
    </row>
    <row r="313" ht="15.75" customHeight="1" spans="1:11">
      <c r="A313" s="7">
        <v>210</v>
      </c>
      <c r="B313" s="43"/>
      <c r="C313" s="7"/>
      <c r="D313" s="7" t="str">
        <f>IF(D11="","",IF(H313="","",D11))</f>
        <v/>
      </c>
      <c r="E313" s="7"/>
      <c r="F313" s="7"/>
      <c r="G313" s="7"/>
      <c r="H313" s="10" t="str">
        <f>IF(AND(E313="",F313="",G313=""),"",IF(SUM(E313:G313)&gt;100,"ERROR",IF(AND(E10="TEST",SUM(E313:G313)&lt;=100),SUM(E313:G313),IF(AND(E10="*TEST",F313="",E313&lt;=30,G313&lt;=70),SUM(E313:G313),IF(AND(E10="*TEST",F313&lt;=20,E313&lt;=20,G313&lt;=60),SUM(E313:G313),IF(AND(E10="*TEST",F313="-",E313&lt;=20,G313&lt;=60),SUM(E313:G313),"ERROR"))))))</f>
        <v/>
      </c>
      <c r="I313" s="7" t="str">
        <f>IF(H313="ERROR","ERROR",IF(H313="","",IF(AND(F10="*LAB",F313="-"),"F",IF(H313&gt;69.5,"A",IF(H313&gt;59.5,"B",IF(H313&gt;49.5,"C",IF(AND(D10="*PROGRAM",H313&lt;49.5),"F",IF(H313&gt;44.5,"D",IF(H313&gt;39.5,"E","F")))))))))</f>
        <v/>
      </c>
      <c r="J313" s="7" t="str">
        <f t="shared" si="15"/>
        <v/>
      </c>
      <c r="K313" s="1"/>
    </row>
    <row r="314" ht="15.75" customHeight="1" spans="1:11">
      <c r="A314" s="7">
        <v>211</v>
      </c>
      <c r="B314" s="43"/>
      <c r="C314" s="7"/>
      <c r="D314" s="7" t="str">
        <f>IF(D11="","",IF(H314="","",D11))</f>
        <v/>
      </c>
      <c r="E314" s="7"/>
      <c r="F314" s="7"/>
      <c r="G314" s="7"/>
      <c r="H314" s="10" t="str">
        <f>IF(AND(E314="",F314="",G314=""),"",IF(SUM(E314:G314)&gt;100,"ERROR",IF(AND(E10="TEST",SUM(E314:G314)&lt;=100),SUM(E314:G314),IF(AND(E10="*TEST",F314="",E314&lt;=30,G314&lt;=70),SUM(E314:G314),IF(AND(E10="*TEST",F314&lt;=20,E314&lt;=20,G314&lt;=60),SUM(E314:G314),IF(AND(E10="*TEST",F314="-",E314&lt;=20,G314&lt;=60),SUM(E314:G314),"ERROR"))))))</f>
        <v/>
      </c>
      <c r="I314" s="7" t="str">
        <f>IF(H314="ERROR","ERROR",IF(H314="","",IF(AND(F10="*LAB",F314="-"),"F",IF(H314&gt;69.5,"A",IF(H314&gt;59.5,"B",IF(H314&gt;49.5,"C",IF(AND(D10="*PROGRAM",H314&lt;49.5),"F",IF(H314&gt;44.5,"D",IF(H314&gt;39.5,"E","F")))))))))</f>
        <v/>
      </c>
      <c r="J314" s="7" t="str">
        <f t="shared" si="15"/>
        <v/>
      </c>
      <c r="K314" s="1"/>
    </row>
    <row r="315" ht="15.75" customHeight="1" spans="1:11">
      <c r="A315" s="7">
        <v>212</v>
      </c>
      <c r="B315" s="43"/>
      <c r="C315" s="7"/>
      <c r="D315" s="7" t="str">
        <f>IF(D11="","",IF(H315="","",D11))</f>
        <v/>
      </c>
      <c r="E315" s="7"/>
      <c r="F315" s="7"/>
      <c r="G315" s="7"/>
      <c r="H315" s="10" t="str">
        <f>IF(AND(E315="",F315="",G315=""),"",IF(SUM(E315:G315)&gt;100,"ERROR",IF(AND(E10="TEST",SUM(E315:G315)&lt;=100),SUM(E315:G315),IF(AND(E10="*TEST",F315="",E315&lt;=30,G315&lt;=70),SUM(E315:G315),IF(AND(E10="*TEST",F315&lt;=20,E315&lt;=20,G315&lt;=60),SUM(E315:G315),IF(AND(E10="*TEST",F315="-",E315&lt;=20,G315&lt;=60),SUM(E315:G315),"ERROR"))))))</f>
        <v/>
      </c>
      <c r="I315" s="7" t="str">
        <f>IF(H315="ERROR","ERROR",IF(H315="","",IF(AND(F10="*LAB",F315="-"),"F",IF(H315&gt;69.5,"A",IF(H315&gt;59.5,"B",IF(H315&gt;49.5,"C",IF(AND(D10="*PROGRAM",H315&lt;49.5),"F",IF(H315&gt;44.5,"D",IF(H315&gt;39.5,"E","F")))))))))</f>
        <v/>
      </c>
      <c r="J315" s="7" t="str">
        <f t="shared" si="15"/>
        <v/>
      </c>
      <c r="K315" s="1"/>
    </row>
    <row r="316" ht="15.75" customHeight="1" spans="1:11">
      <c r="A316" s="7">
        <v>213</v>
      </c>
      <c r="B316" s="43"/>
      <c r="C316" s="7"/>
      <c r="D316" s="7" t="str">
        <f>IF(D11="","",IF(H316="","",D11))</f>
        <v/>
      </c>
      <c r="E316" s="7"/>
      <c r="F316" s="7"/>
      <c r="G316" s="7"/>
      <c r="H316" s="10" t="str">
        <f>IF(AND(E316="",F316="",G316=""),"",IF(SUM(E316:G316)&gt;100,"ERROR",IF(AND(E10="TEST",SUM(E316:G316)&lt;=100),SUM(E316:G316),IF(AND(E10="*TEST",F316="",E316&lt;=30,G316&lt;=70),SUM(E316:G316),IF(AND(E10="*TEST",F316&lt;=20,E316&lt;=20,G316&lt;=60),SUM(E316:G316),IF(AND(E10="*TEST",F316="-",E316&lt;=20,G316&lt;=60),SUM(E316:G316),"ERROR"))))))</f>
        <v/>
      </c>
      <c r="I316" s="7" t="str">
        <f>IF(H316="ERROR","ERROR",IF(H316="","",IF(AND(F10="*LAB",F316="-"),"F",IF(H316&gt;69.5,"A",IF(H316&gt;59.5,"B",IF(H316&gt;49.5,"C",IF(AND(D10="*PROGRAM",H316&lt;49.5),"F",IF(H316&gt;44.5,"D",IF(H316&gt;39.5,"E","F")))))))))</f>
        <v/>
      </c>
      <c r="J316" s="7" t="str">
        <f t="shared" si="15"/>
        <v/>
      </c>
      <c r="K316" s="1"/>
    </row>
    <row r="317" ht="15.75" customHeight="1" spans="1:11">
      <c r="A317" s="7">
        <v>214</v>
      </c>
      <c r="B317" s="43"/>
      <c r="C317" s="7"/>
      <c r="D317" s="7" t="str">
        <f>IF(D11="","",IF(H317="","",D11))</f>
        <v/>
      </c>
      <c r="E317" s="7"/>
      <c r="F317" s="7"/>
      <c r="G317" s="7"/>
      <c r="H317" s="10" t="str">
        <f>IF(AND(E317="",F317="",G317=""),"",IF(SUM(E317:G317)&gt;100,"ERROR",IF(AND(E10="TEST",SUM(E317:G317)&lt;=100),SUM(E317:G317),IF(AND(E10="*TEST",F317="",E317&lt;=30,G317&lt;=70),SUM(E317:G317),IF(AND(E10="*TEST",F317&lt;=20,E317&lt;=20,G317&lt;=60),SUM(E317:G317),IF(AND(E10="*TEST",F317="-",E317&lt;=20,G317&lt;=60),SUM(E317:G317),"ERROR"))))))</f>
        <v/>
      </c>
      <c r="I317" s="7" t="str">
        <f>IF(H317="ERROR","ERROR",IF(H317="","",IF(AND(F10="*LAB",F317="-"),"F",IF(H317&gt;69.5,"A",IF(H317&gt;59.5,"B",IF(H317&gt;49.5,"C",IF(AND(D10="*PROGRAM",H317&lt;49.5),"F",IF(H317&gt;44.5,"D",IF(H317&gt;39.5,"E","F")))))))))</f>
        <v/>
      </c>
      <c r="J317" s="7" t="str">
        <f t="shared" si="15"/>
        <v/>
      </c>
      <c r="K317" s="1"/>
    </row>
    <row r="318" ht="15.75" customHeight="1" spans="1:11">
      <c r="A318" s="7">
        <v>215</v>
      </c>
      <c r="B318" s="43"/>
      <c r="C318" s="7"/>
      <c r="D318" s="7" t="str">
        <f>IF(D11="","",IF(H318="","",D11))</f>
        <v/>
      </c>
      <c r="E318" s="7"/>
      <c r="F318" s="7"/>
      <c r="G318" s="7"/>
      <c r="H318" s="10" t="str">
        <f>IF(AND(E318="",F318="",G318=""),"",IF(SUM(E318:G318)&gt;100,"ERROR",IF(AND(E10="TEST",SUM(E318:G318)&lt;=100),SUM(E318:G318),IF(AND(E10="*TEST",F318="",E318&lt;=30,G318&lt;=70),SUM(E318:G318),IF(AND(E10="*TEST",F318&lt;=20,E318&lt;=20,G318&lt;=60),SUM(E318:G318),IF(AND(E10="*TEST",F318="-",E318&lt;=20,G318&lt;=60),SUM(E318:G318),"ERROR"))))))</f>
        <v/>
      </c>
      <c r="I318" s="7" t="str">
        <f>IF(H318="ERROR","ERROR",IF(H318="","",IF(AND(F10="*LAB",F318="-"),"F",IF(H318&gt;69.5,"A",IF(H318&gt;59.5,"B",IF(H318&gt;49.5,"C",IF(AND(D10="*PROGRAM",H318&lt;49.5),"F",IF(H318&gt;44.5,"D",IF(H318&gt;39.5,"E","F")))))))))</f>
        <v/>
      </c>
      <c r="J318" s="7" t="str">
        <f t="shared" si="15"/>
        <v/>
      </c>
      <c r="K318" s="1"/>
    </row>
    <row r="319" ht="15.75" customHeight="1" spans="1:11">
      <c r="A319" s="7">
        <v>216</v>
      </c>
      <c r="B319" s="43"/>
      <c r="C319" s="7"/>
      <c r="D319" s="7" t="str">
        <f>IF(D11="","",IF(H319="","",D11))</f>
        <v/>
      </c>
      <c r="E319" s="7"/>
      <c r="F319" s="7"/>
      <c r="G319" s="7"/>
      <c r="H319" s="10" t="str">
        <f>IF(AND(E319="",F319="",G319=""),"",IF(SUM(E319:G319)&gt;100,"ERROR",IF(AND(E10="TEST",SUM(E319:G319)&lt;=100),SUM(E319:G319),IF(AND(E10="*TEST",F319="",E319&lt;=30,G319&lt;=70),SUM(E319:G319),IF(AND(E10="*TEST",F319&lt;=20,E319&lt;=20,G319&lt;=60),SUM(E319:G319),IF(AND(E10="*TEST",F319="-",E319&lt;=20,G319&lt;=60),SUM(E319:G319),"ERROR"))))))</f>
        <v/>
      </c>
      <c r="I319" s="7" t="str">
        <f>IF(H319="ERROR","ERROR",IF(H319="","",IF(AND(F10="*LAB",F319="-"),"F",IF(H319&gt;69.5,"A",IF(H319&gt;59.5,"B",IF(H319&gt;49.5,"C",IF(AND(D10="*PROGRAM",H319&lt;49.5),"F",IF(H319&gt;44.5,"D",IF(H319&gt;39.5,"E","F")))))))))</f>
        <v/>
      </c>
      <c r="J319" s="7" t="str">
        <f t="shared" si="15"/>
        <v/>
      </c>
      <c r="K319" s="1"/>
    </row>
    <row r="320" ht="15.75" customHeight="1" spans="1:11">
      <c r="A320" s="7">
        <v>217</v>
      </c>
      <c r="B320" s="43"/>
      <c r="C320" s="7"/>
      <c r="D320" s="7" t="str">
        <f>IF(D11="","",IF(H320="","",D11))</f>
        <v/>
      </c>
      <c r="E320" s="7"/>
      <c r="F320" s="7"/>
      <c r="G320" s="7"/>
      <c r="H320" s="10" t="str">
        <f>IF(AND(E320="",F320="",G320=""),"",IF(SUM(E320:G320)&gt;100,"ERROR",IF(AND(E10="TEST",SUM(E320:G320)&lt;=100),SUM(E320:G320),IF(AND(E10="*TEST",F320="",E320&lt;=30,G320&lt;=70),SUM(E320:G320),IF(AND(E10="*TEST",F320&lt;=20,E320&lt;=20,G320&lt;=60),SUM(E320:G320),IF(AND(E10="*TEST",F320="-",E320&lt;=20,G320&lt;=60),SUM(E320:G320),"ERROR"))))))</f>
        <v/>
      </c>
      <c r="I320" s="7" t="str">
        <f>IF(H320="ERROR","ERROR",IF(H320="","",IF(AND(F10="*LAB",F320="-"),"F",IF(H320&gt;69.5,"A",IF(H320&gt;59.5,"B",IF(H320&gt;49.5,"C",IF(AND(D10="*PROGRAM",H320&lt;49.5),"F",IF(H320&gt;44.5,"D",IF(H320&gt;39.5,"E","F")))))))))</f>
        <v/>
      </c>
      <c r="J320" s="7" t="str">
        <f t="shared" si="15"/>
        <v/>
      </c>
      <c r="K320" s="1"/>
    </row>
    <row r="321" ht="15.75" customHeight="1" spans="1:11">
      <c r="A321" s="7">
        <v>218</v>
      </c>
      <c r="B321" s="43"/>
      <c r="C321" s="7"/>
      <c r="D321" s="7" t="str">
        <f>IF(D11="","",IF(H321="","",D11))</f>
        <v/>
      </c>
      <c r="E321" s="7"/>
      <c r="F321" s="7"/>
      <c r="G321" s="7"/>
      <c r="H321" s="10" t="str">
        <f>IF(AND(E321="",F321="",G321=""),"",IF(SUM(E321:G321)&gt;100,"ERROR",IF(AND(E10="TEST",SUM(E321:G321)&lt;=100),SUM(E321:G321),IF(AND(E10="*TEST",F321="",E321&lt;=30,G321&lt;=70),SUM(E321:G321),IF(AND(E10="*TEST",F321&lt;=20,E321&lt;=20,G321&lt;=60),SUM(E321:G321),IF(AND(E10="*TEST",F321="-",E321&lt;=20,G321&lt;=60),SUM(E321:G321),"ERROR"))))))</f>
        <v/>
      </c>
      <c r="I321" s="7" t="str">
        <f>IF(H321="ERROR","ERROR",IF(H321="","",IF(AND(F10="*LAB",F321="-"),"F",IF(H321&gt;69.5,"A",IF(H321&gt;59.5,"B",IF(H321&gt;49.5,"C",IF(AND(D10="*PROGRAM",H321&lt;49.5),"F",IF(H321&gt;44.5,"D",IF(H321&gt;39.5,"E","F")))))))))</f>
        <v/>
      </c>
      <c r="J321" s="7" t="str">
        <f t="shared" si="15"/>
        <v/>
      </c>
      <c r="K321" s="1"/>
    </row>
    <row r="322" ht="15.75" customHeight="1" spans="1:11">
      <c r="A322" s="7">
        <v>219</v>
      </c>
      <c r="B322" s="43"/>
      <c r="C322" s="7"/>
      <c r="D322" s="7" t="str">
        <f>IF(D11="","",IF(H322="","",D11))</f>
        <v/>
      </c>
      <c r="E322" s="7"/>
      <c r="F322" s="7"/>
      <c r="G322" s="7"/>
      <c r="H322" s="10" t="str">
        <f>IF(AND(E322="",F322="",G322=""),"",IF(SUM(E322:G322)&gt;100,"ERROR",IF(AND(E10="TEST",SUM(E322:G322)&lt;=100),SUM(E322:G322),IF(AND(E10="*TEST",F322="",E322&lt;=30,G322&lt;=70),SUM(E322:G322),IF(AND(E10="*TEST",F322&lt;=20,E322&lt;=20,G322&lt;=60),SUM(E322:G322),IF(AND(E10="*TEST",F322="-",E322&lt;=20,G322&lt;=60),SUM(E322:G322),"ERROR"))))))</f>
        <v/>
      </c>
      <c r="I322" s="7" t="str">
        <f>IF(H322="ERROR","ERROR",IF(H322="","",IF(AND(F10="*LAB",F322="-"),"F",IF(H322&gt;69.5,"A",IF(H322&gt;59.5,"B",IF(H322&gt;49.5,"C",IF(AND(D10="*PROGRAM",H322&lt;49.5),"F",IF(H322&gt;44.5,"D",IF(H322&gt;39.5,"E","F")))))))))</f>
        <v/>
      </c>
      <c r="J322" s="7" t="str">
        <f t="shared" si="15"/>
        <v/>
      </c>
      <c r="K322" s="1"/>
    </row>
    <row r="323" ht="15.75" customHeight="1" spans="1:11">
      <c r="A323" s="7">
        <v>220</v>
      </c>
      <c r="B323" s="43"/>
      <c r="C323" s="7"/>
      <c r="D323" s="7" t="str">
        <f>IF(D11="","",IF(H323="","",D11))</f>
        <v/>
      </c>
      <c r="E323" s="7"/>
      <c r="F323" s="7"/>
      <c r="G323" s="7"/>
      <c r="H323" s="10" t="str">
        <f>IF(AND(E323="",F323="",G323=""),"",IF(SUM(E323:G323)&gt;100,"ERROR",IF(AND(E10="TEST",SUM(E323:G323)&lt;=100),SUM(E323:G323),IF(AND(E10="*TEST",F323="",E323&lt;=30,G323&lt;=70),SUM(E323:G323),IF(AND(E10="*TEST",F323&lt;=20,E323&lt;=20,G323&lt;=60),SUM(E323:G323),IF(AND(E10="*TEST",F323="-",E323&lt;=20,G323&lt;=60),SUM(E323:G323),"ERROR"))))))</f>
        <v/>
      </c>
      <c r="I323" s="7" t="str">
        <f>IF(H323="ERROR","ERROR",IF(H323="","",IF(AND(F10="*LAB",F323="-"),"F",IF(H323&gt;69.5,"A",IF(H323&gt;59.5,"B",IF(H323&gt;49.5,"C",IF(AND(D10="*PROGRAM",H323&lt;49.5),"F",IF(H323&gt;44.5,"D",IF(H323&gt;39.5,"E","F")))))))))</f>
        <v/>
      </c>
      <c r="J323" s="7" t="str">
        <f t="shared" si="15"/>
        <v/>
      </c>
      <c r="K323" s="1"/>
    </row>
    <row r="324" ht="15.75" customHeight="1" spans="1:11">
      <c r="A324" s="7">
        <v>221</v>
      </c>
      <c r="B324" s="43"/>
      <c r="C324" s="7"/>
      <c r="D324" s="7" t="str">
        <f>IF(D11="","",IF(H324="","",D11))</f>
        <v/>
      </c>
      <c r="E324" s="7"/>
      <c r="F324" s="7"/>
      <c r="G324" s="7"/>
      <c r="H324" s="10" t="str">
        <f>IF(AND(E324="",F324="",G324=""),"",IF(SUM(E324:G324)&gt;100,"ERROR",IF(AND(E10="TEST",SUM(E324:G324)&lt;=100),SUM(E324:G324),IF(AND(E10="*TEST",F324="",E324&lt;=30,G324&lt;=70),SUM(E324:G324),IF(AND(E10="*TEST",F324&lt;=20,E324&lt;=20,G324&lt;=60),SUM(E324:G324),IF(AND(E10="*TEST",F324="-",E324&lt;=20,G324&lt;=60),SUM(E324:G324),"ERROR"))))))</f>
        <v/>
      </c>
      <c r="I324" s="7" t="str">
        <f>IF(H324="ERROR","ERROR",IF(H324="","",IF(AND(F10="*LAB",F324="-"),"F",IF(H324&gt;69.5,"A",IF(H324&gt;59.5,"B",IF(H324&gt;49.5,"C",IF(AND(D10="*PROGRAM",H324&lt;49.5),"F",IF(H324&gt;44.5,"D",IF(H324&gt;39.5,"E","F")))))))))</f>
        <v/>
      </c>
      <c r="J324" s="7" t="str">
        <f t="shared" si="15"/>
        <v/>
      </c>
      <c r="K324" s="1"/>
    </row>
    <row r="325" ht="15.75" customHeight="1" spans="1:11">
      <c r="A325" s="7">
        <v>222</v>
      </c>
      <c r="B325" s="43"/>
      <c r="C325" s="7"/>
      <c r="D325" s="7" t="str">
        <f>IF(D11="","",IF(H325="","",D11))</f>
        <v/>
      </c>
      <c r="E325" s="7"/>
      <c r="F325" s="7"/>
      <c r="G325" s="7"/>
      <c r="H325" s="10" t="str">
        <f>IF(AND(E325="",F325="",G325=""),"",IF(SUM(E325:G325)&gt;100,"ERROR",IF(AND(E10="TEST",SUM(E325:G325)&lt;=100),SUM(E325:G325),IF(AND(E10="*TEST",F325="",E325&lt;=30,G325&lt;=70),SUM(E325:G325),IF(AND(E10="*TEST",F325&lt;=20,E325&lt;=20,G325&lt;=60),SUM(E325:G325),IF(AND(E10="*TEST",F325="-",E325&lt;=20,G325&lt;=60),SUM(E325:G325),"ERROR"))))))</f>
        <v/>
      </c>
      <c r="I325" s="7" t="str">
        <f>IF(H325="ERROR","ERROR",IF(H325="","",IF(AND(F10="*LAB",F325="-"),"F",IF(H325&gt;69.5,"A",IF(H325&gt;59.5,"B",IF(H325&gt;49.5,"C",IF(AND(D10="*PROGRAM",H325&lt;49.5),"F",IF(H325&gt;44.5,"D",IF(H325&gt;39.5,"E","F")))))))))</f>
        <v/>
      </c>
      <c r="J325" s="7" t="str">
        <f t="shared" si="15"/>
        <v/>
      </c>
      <c r="K325" s="1"/>
    </row>
    <row r="326" ht="15.75" customHeight="1" spans="1:11">
      <c r="A326" s="7">
        <v>223</v>
      </c>
      <c r="B326" s="43"/>
      <c r="C326" s="7"/>
      <c r="D326" s="7" t="str">
        <f>IF(D11="","",IF(H326="","",D11))</f>
        <v/>
      </c>
      <c r="E326" s="7"/>
      <c r="F326" s="7"/>
      <c r="G326" s="7"/>
      <c r="H326" s="10" t="str">
        <f>IF(AND(E326="",F326="",G326=""),"",IF(SUM(E326:G326)&gt;100,"ERROR",IF(AND(E10="TEST",SUM(E326:G326)&lt;=100),SUM(E326:G326),IF(AND(E10="*TEST",F326="",E326&lt;=30,G326&lt;=70),SUM(E326:G326),IF(AND(E10="*TEST",F326&lt;=20,E326&lt;=20,G326&lt;=60),SUM(E326:G326),IF(AND(E10="*TEST",F326="-",E326&lt;=20,G326&lt;=60),SUM(E326:G326),"ERROR"))))))</f>
        <v/>
      </c>
      <c r="I326" s="7" t="str">
        <f>IF(H326="ERROR","ERROR",IF(H326="","",IF(AND(F10="*LAB",F326="-"),"F",IF(H326&gt;69.5,"A",IF(H326&gt;59.5,"B",IF(H326&gt;49.5,"C",IF(AND(D10="*PROGRAM",H326&lt;49.5),"F",IF(H326&gt;44.5,"D",IF(H326&gt;39.5,"E","F")))))))))</f>
        <v/>
      </c>
      <c r="J326" s="7" t="str">
        <f t="shared" si="15"/>
        <v/>
      </c>
      <c r="K326" s="1"/>
    </row>
    <row r="327" ht="15.75" customHeight="1" spans="1:11">
      <c r="A327" s="7">
        <v>224</v>
      </c>
      <c r="B327" s="43"/>
      <c r="C327" s="7"/>
      <c r="D327" s="7" t="str">
        <f>IF(D11="","",IF(H327="","",D11))</f>
        <v/>
      </c>
      <c r="E327" s="7"/>
      <c r="F327" s="7"/>
      <c r="G327" s="7"/>
      <c r="H327" s="10" t="str">
        <f>IF(AND(E327="",F327="",G327=""),"",IF(SUM(E327:G327)&gt;100,"ERROR",IF(AND(E10="TEST",SUM(E327:G327)&lt;=100),SUM(E327:G327),IF(AND(E10="*TEST",F327="",E327&lt;=30,G327&lt;=70),SUM(E327:G327),IF(AND(E10="*TEST",F327&lt;=20,E327&lt;=20,G327&lt;=60),SUM(E327:G327),IF(AND(E10="*TEST",F327="-",E327&lt;=20,G327&lt;=60),SUM(E327:G327),"ERROR"))))))</f>
        <v/>
      </c>
      <c r="I327" s="7" t="str">
        <f>IF(H327="ERROR","ERROR",IF(H327="","",IF(AND(F10="*LAB",F327="-"),"F",IF(H327&gt;69.5,"A",IF(H327&gt;59.5,"B",IF(H327&gt;49.5,"C",IF(AND(D10="*PROGRAM",H327&lt;49.5),"F",IF(H327&gt;44.5,"D",IF(H327&gt;39.5,"E","F")))))))))</f>
        <v/>
      </c>
      <c r="J327" s="7" t="str">
        <f t="shared" si="15"/>
        <v/>
      </c>
      <c r="K327" s="1"/>
    </row>
    <row r="328" ht="15.75" customHeight="1" spans="1:11">
      <c r="A328" s="7">
        <v>225</v>
      </c>
      <c r="B328" s="43"/>
      <c r="C328" s="7"/>
      <c r="D328" s="7" t="str">
        <f>IF(D11="","",IF(H328="","",D11))</f>
        <v/>
      </c>
      <c r="E328" s="7"/>
      <c r="F328" s="7"/>
      <c r="G328" s="7"/>
      <c r="H328" s="10" t="str">
        <f>IF(AND(E328="",F328="",G328=""),"",IF(SUM(E328:G328)&gt;100,"ERROR",IF(AND(E10="TEST",SUM(E328:G328)&lt;=100),SUM(E328:G328),IF(AND(E10="*TEST",F328="",E328&lt;=30,G328&lt;=70),SUM(E328:G328),IF(AND(E10="*TEST",F328&lt;=20,E328&lt;=20,G328&lt;=60),SUM(E328:G328),IF(AND(E10="*TEST",F328="-",E328&lt;=20,G328&lt;=60),SUM(E328:G328),"ERROR"))))))</f>
        <v/>
      </c>
      <c r="I328" s="7" t="str">
        <f>IF(H328="ERROR","ERROR",IF(H328="","",IF(AND(F10="*LAB",F328="-"),"F",IF(H328&gt;69.5,"A",IF(H328&gt;59.5,"B",IF(H328&gt;49.5,"C",IF(AND(D10="*PROGRAM",H328&lt;49.5),"F",IF(H328&gt;44.5,"D",IF(H328&gt;39.5,"E","F")))))))))</f>
        <v/>
      </c>
      <c r="J328" s="7" t="str">
        <f t="shared" si="15"/>
        <v/>
      </c>
      <c r="K328" s="1"/>
    </row>
    <row r="329" ht="15.75" customHeight="1" spans="1:11">
      <c r="A329" s="7">
        <v>226</v>
      </c>
      <c r="B329" s="43"/>
      <c r="C329" s="7"/>
      <c r="D329" s="7" t="str">
        <f>IF(D11="","",IF(H329="","",D11))</f>
        <v/>
      </c>
      <c r="E329" s="7"/>
      <c r="F329" s="7"/>
      <c r="G329" s="7"/>
      <c r="H329" s="10" t="str">
        <f>IF(AND(E329="",F329="",G329=""),"",IF(SUM(E329:G329)&gt;100,"ERROR",IF(AND(E10="TEST",SUM(E329:G329)&lt;=100),SUM(E329:G329),IF(AND(E10="*TEST",F329="",E329&lt;=30,G329&lt;=70),SUM(E329:G329),IF(AND(E10="*TEST",F329&lt;=20,E329&lt;=20,G329&lt;=60),SUM(E329:G329),IF(AND(E10="*TEST",F329="-",E329&lt;=20,G329&lt;=60),SUM(E329:G329),"ERROR"))))))</f>
        <v/>
      </c>
      <c r="I329" s="7" t="str">
        <f>IF(H329="ERROR","ERROR",IF(H329="","",IF(AND(F10="*LAB",F329="-"),"F",IF(H329&gt;69.5,"A",IF(H329&gt;59.5,"B",IF(H329&gt;49.5,"C",IF(AND(D10="*PROGRAM",H329&lt;49.5),"F",IF(H329&gt;44.5,"D",IF(H329&gt;39.5,"E","F")))))))))</f>
        <v/>
      </c>
      <c r="J329" s="7" t="str">
        <f t="shared" si="15"/>
        <v/>
      </c>
      <c r="K329" s="1"/>
    </row>
    <row r="330" ht="15.75" customHeight="1" spans="1:11">
      <c r="A330" s="7">
        <v>227</v>
      </c>
      <c r="B330" s="43"/>
      <c r="C330" s="7"/>
      <c r="D330" s="7" t="str">
        <f>IF(D11="","",IF(H330="","",D11))</f>
        <v/>
      </c>
      <c r="E330" s="7"/>
      <c r="F330" s="7"/>
      <c r="G330" s="7"/>
      <c r="H330" s="10" t="str">
        <f>IF(AND(E330="",F330="",G330=""),"",IF(SUM(E330:G330)&gt;100,"ERROR",IF(AND(E10="TEST",SUM(E330:G330)&lt;=100),SUM(E330:G330),IF(AND(E10="*TEST",F330="",E330&lt;=30,G330&lt;=70),SUM(E330:G330),IF(AND(E10="*TEST",F330&lt;=20,E330&lt;=20,G330&lt;=60),SUM(E330:G330),IF(AND(E10="*TEST",F330="-",E330&lt;=20,G330&lt;=60),SUM(E330:G330),"ERROR"))))))</f>
        <v/>
      </c>
      <c r="I330" s="7" t="str">
        <f>IF(H330="ERROR","ERROR",IF(H330="","",IF(AND(F10="*LAB",F330="-"),"F",IF(H330&gt;69.5,"A",IF(H330&gt;59.5,"B",IF(H330&gt;49.5,"C",IF(AND(D10="*PROGRAM",H330&lt;49.5),"F",IF(H330&gt;44.5,"D",IF(H330&gt;39.5,"E","F")))))))))</f>
        <v/>
      </c>
      <c r="J330" s="7" t="str">
        <f t="shared" si="15"/>
        <v/>
      </c>
      <c r="K330" s="1"/>
    </row>
    <row r="331" ht="15.75" customHeight="1" spans="1:11">
      <c r="A331" s="7">
        <v>228</v>
      </c>
      <c r="B331" s="43"/>
      <c r="C331" s="7"/>
      <c r="D331" s="7" t="str">
        <f>IF(D11="","",IF(H331="","",D11))</f>
        <v/>
      </c>
      <c r="E331" s="7"/>
      <c r="F331" s="7"/>
      <c r="G331" s="7"/>
      <c r="H331" s="10" t="str">
        <f>IF(AND(E331="",F331="",G331=""),"",IF(SUM(E331:G331)&gt;100,"ERROR",IF(AND(E10="TEST",SUM(E331:G331)&lt;=100),SUM(E331:G331),IF(AND(E10="*TEST",F331="",E331&lt;=30,G331&lt;=70),SUM(E331:G331),IF(AND(E10="*TEST",F331&lt;=20,E331&lt;=20,G331&lt;=60),SUM(E331:G331),IF(AND(E10="*TEST",F331="-",E331&lt;=20,G331&lt;=60),SUM(E331:G331),"ERROR"))))))</f>
        <v/>
      </c>
      <c r="I331" s="7" t="str">
        <f>IF(H331="ERROR","ERROR",IF(H331="","",IF(AND(F10="*LAB",F331="-"),"F",IF(H331&gt;69.5,"A",IF(H331&gt;59.5,"B",IF(H331&gt;49.5,"C",IF(AND(D10="*PROGRAM",H331&lt;49.5),"F",IF(H331&gt;44.5,"D",IF(H331&gt;39.5,"E","F")))))))))</f>
        <v/>
      </c>
      <c r="J331" s="7" t="str">
        <f t="shared" si="15"/>
        <v/>
      </c>
      <c r="K331" s="1"/>
    </row>
    <row r="332" ht="15.75" customHeight="1" spans="1:11">
      <c r="A332" s="7">
        <v>229</v>
      </c>
      <c r="B332" s="43"/>
      <c r="C332" s="7"/>
      <c r="D332" s="7" t="str">
        <f>IF(D11="","",IF(H332="","",D11))</f>
        <v/>
      </c>
      <c r="E332" s="7"/>
      <c r="F332" s="7"/>
      <c r="G332" s="7"/>
      <c r="H332" s="10" t="str">
        <f>IF(AND(E332="",F332="",G332=""),"",IF(SUM(E332:G332)&gt;100,"ERROR",IF(AND(E10="TEST",SUM(E332:G332)&lt;=100),SUM(E332:G332),IF(AND(E10="*TEST",F332="",E332&lt;=30,G332&lt;=70),SUM(E332:G332),IF(AND(E10="*TEST",F332&lt;=20,E332&lt;=20,G332&lt;=60),SUM(E332:G332),IF(AND(E10="*TEST",F332="-",E332&lt;=20,G332&lt;=60),SUM(E332:G332),"ERROR"))))))</f>
        <v/>
      </c>
      <c r="I332" s="7" t="str">
        <f>IF(H332="ERROR","ERROR",IF(H332="","",IF(AND(F10="*LAB",F332="-"),"F",IF(H332&gt;69.5,"A",IF(H332&gt;59.5,"B",IF(H332&gt;49.5,"C",IF(AND(D10="*PROGRAM",H332&lt;49.5),"F",IF(H332&gt;44.5,"D",IF(H332&gt;39.5,"E","F")))))))))</f>
        <v/>
      </c>
      <c r="J332" s="7" t="str">
        <f t="shared" si="15"/>
        <v/>
      </c>
      <c r="K332" s="1"/>
    </row>
    <row r="333" ht="15.75" customHeight="1" spans="1:11">
      <c r="A333" s="7">
        <v>230</v>
      </c>
      <c r="B333" s="43"/>
      <c r="C333" s="7"/>
      <c r="D333" s="7" t="str">
        <f>IF(D11="","",IF(H333="","",D11))</f>
        <v/>
      </c>
      <c r="E333" s="7"/>
      <c r="F333" s="7"/>
      <c r="G333" s="7"/>
      <c r="H333" s="10" t="str">
        <f>IF(AND(E333="",F333="",G333=""),"",IF(SUM(E333:G333)&gt;100,"ERROR",IF(AND(E10="TEST",SUM(E333:G333)&lt;=100),SUM(E333:G333),IF(AND(E10="*TEST",F333="",E333&lt;=30,G333&lt;=70),SUM(E333:G333),IF(AND(E10="*TEST",F333&lt;=20,E333&lt;=20,G333&lt;=60),SUM(E333:G333),IF(AND(E10="*TEST",F333="-",E333&lt;=20,G333&lt;=60),SUM(E333:G333),"ERROR"))))))</f>
        <v/>
      </c>
      <c r="I333" s="7" t="str">
        <f>IF(H333="ERROR","ERROR",IF(H333="","",IF(AND(F10="*LAB",F333="-"),"F",IF(H333&gt;69.5,"A",IF(H333&gt;59.5,"B",IF(H333&gt;49.5,"C",IF(AND(D10="*PROGRAM",H333&lt;49.5),"F",IF(H333&gt;44.5,"D",IF(H333&gt;39.5,"E","F")))))))))</f>
        <v/>
      </c>
      <c r="J333" s="7" t="str">
        <f t="shared" si="15"/>
        <v/>
      </c>
      <c r="K333" s="1"/>
    </row>
    <row r="334" ht="15.75" customHeight="1" spans="1:11">
      <c r="A334" s="7">
        <v>231</v>
      </c>
      <c r="B334" s="43"/>
      <c r="C334" s="7"/>
      <c r="D334" s="7" t="str">
        <f>IF(D11="","",IF(H334="","",D11))</f>
        <v/>
      </c>
      <c r="E334" s="7"/>
      <c r="F334" s="7"/>
      <c r="G334" s="7"/>
      <c r="H334" s="10" t="str">
        <f>IF(AND(E334="",F334="",G334=""),"",IF(SUM(E334:G334)&gt;100,"ERROR",IF(AND(E10="TEST",SUM(E334:G334)&lt;=100),SUM(E334:G334),IF(AND(E10="*TEST",F334="",E334&lt;=30,G334&lt;=70),SUM(E334:G334),IF(AND(E10="*TEST",F334&lt;=20,E334&lt;=20,G334&lt;=60),SUM(E334:G334),IF(AND(E10="*TEST",F334="-",E334&lt;=20,G334&lt;=60),SUM(E334:G334),"ERROR"))))))</f>
        <v/>
      </c>
      <c r="I334" s="7" t="str">
        <f>IF(H334="ERROR","ERROR",IF(H334="","",IF(AND(F10="*LAB",F334="-"),"F",IF(H334&gt;69.5,"A",IF(H334&gt;59.5,"B",IF(H334&gt;49.5,"C",IF(AND(D10="*PROGRAM",H334&lt;49.5),"F",IF(H334&gt;44.5,"D",IF(H334&gt;39.5,"E","F")))))))))</f>
        <v/>
      </c>
      <c r="J334" s="7" t="str">
        <f t="shared" si="15"/>
        <v/>
      </c>
      <c r="K334" s="1"/>
    </row>
    <row r="335" ht="15.75" customHeight="1" spans="1:11">
      <c r="A335" s="7">
        <v>232</v>
      </c>
      <c r="B335" s="43"/>
      <c r="C335" s="7"/>
      <c r="D335" s="7" t="str">
        <f>IF(D11="","",IF(H335="","",D11))</f>
        <v/>
      </c>
      <c r="E335" s="7"/>
      <c r="F335" s="7"/>
      <c r="G335" s="7"/>
      <c r="H335" s="10" t="str">
        <f>IF(AND(E335="",F335="",G335=""),"",IF(SUM(E335:G335)&gt;100,"ERROR",IF(AND(E10="TEST",SUM(E335:G335)&lt;=100),SUM(E335:G335),IF(AND(E10="*TEST",F335="",E335&lt;=30,G335&lt;=70),SUM(E335:G335),IF(AND(E10="*TEST",F335&lt;=20,E335&lt;=20,G335&lt;=60),SUM(E335:G335),IF(AND(E10="*TEST",F335="-",E335&lt;=20,G335&lt;=60),SUM(E335:G335),"ERROR"))))))</f>
        <v/>
      </c>
      <c r="I335" s="7" t="str">
        <f>IF(H335="ERROR","ERROR",IF(H335="","",IF(AND(F10="*LAB",F335="-"),"F",IF(H335&gt;69.5,"A",IF(H335&gt;59.5,"B",IF(H335&gt;49.5,"C",IF(AND(D10="*PROGRAM",H335&lt;49.5),"F",IF(H335&gt;44.5,"D",IF(H335&gt;39.5,"E","F")))))))))</f>
        <v/>
      </c>
      <c r="J335" s="7" t="str">
        <f t="shared" si="15"/>
        <v/>
      </c>
      <c r="K335" s="1"/>
    </row>
    <row r="336" ht="15.75" customHeight="1" spans="1:11">
      <c r="A336" s="7">
        <v>233</v>
      </c>
      <c r="B336" s="43"/>
      <c r="C336" s="7"/>
      <c r="D336" s="7" t="str">
        <f>IF(D11="","",IF(H336="","",D11))</f>
        <v/>
      </c>
      <c r="E336" s="7"/>
      <c r="F336" s="7"/>
      <c r="G336" s="7"/>
      <c r="H336" s="10" t="str">
        <f>IF(AND(E336="",F336="",G336=""),"",IF(SUM(E336:G336)&gt;100,"ERROR",IF(AND(E10="TEST",SUM(E336:G336)&lt;=100),SUM(E336:G336),IF(AND(E10="*TEST",F336="",E336&lt;=30,G336&lt;=70),SUM(E336:G336),IF(AND(E10="*TEST",F336&lt;=20,E336&lt;=20,G336&lt;=60),SUM(E336:G336),IF(AND(E10="*TEST",F336="-",E336&lt;=20,G336&lt;=60),SUM(E336:G336),"ERROR"))))))</f>
        <v/>
      </c>
      <c r="I336" s="7" t="str">
        <f>IF(H336="ERROR","ERROR",IF(H336="","",IF(AND(F10="*LAB",F336="-"),"F",IF(H336&gt;69.5,"A",IF(H336&gt;59.5,"B",IF(H336&gt;49.5,"C",IF(AND(D10="*PROGRAM",H336&lt;49.5),"F",IF(H336&gt;44.5,"D",IF(H336&gt;39.5,"E","F")))))))))</f>
        <v/>
      </c>
      <c r="J336" s="7" t="str">
        <f t="shared" si="15"/>
        <v/>
      </c>
      <c r="K336" s="1"/>
    </row>
    <row r="337" ht="15.75" customHeight="1" spans="1:11">
      <c r="A337" s="7">
        <v>234</v>
      </c>
      <c r="B337" s="43"/>
      <c r="C337" s="7"/>
      <c r="D337" s="7" t="str">
        <f>IF(D11="","",IF(H337="","",D11))</f>
        <v/>
      </c>
      <c r="E337" s="7"/>
      <c r="F337" s="7"/>
      <c r="G337" s="7"/>
      <c r="H337" s="10" t="str">
        <f>IF(AND(E337="",F337="",G337=""),"",IF(SUM(E337:G337)&gt;100,"ERROR",IF(AND(E10="TEST",SUM(E337:G337)&lt;=100),SUM(E337:G337),IF(AND(E10="*TEST",F337="",E337&lt;=30,G337&lt;=70),SUM(E337:G337),IF(AND(E10="*TEST",F337&lt;=20,E337&lt;=20,G337&lt;=60),SUM(E337:G337),IF(AND(E10="*TEST",F337="-",E337&lt;=20,G337&lt;=60),SUM(E337:G337),"ERROR"))))))</f>
        <v/>
      </c>
      <c r="I337" s="7" t="str">
        <f>IF(H337="ERROR","ERROR",IF(H337="","",IF(AND(F10="*LAB",F337="-"),"F",IF(H337&gt;69.5,"A",IF(H337&gt;59.5,"B",IF(H337&gt;49.5,"C",IF(AND(D10="*PROGRAM",H337&lt;49.5),"F",IF(H337&gt;44.5,"D",IF(H337&gt;39.5,"E","F")))))))))</f>
        <v/>
      </c>
      <c r="J337" s="7" t="str">
        <f t="shared" si="15"/>
        <v/>
      </c>
      <c r="K337" s="1"/>
    </row>
    <row r="338" ht="15.75" customHeight="1" spans="1:11">
      <c r="A338" s="7">
        <v>235</v>
      </c>
      <c r="B338" s="43"/>
      <c r="C338" s="7"/>
      <c r="D338" s="7" t="str">
        <f>IF(D11="","",IF(H338="","",D11))</f>
        <v/>
      </c>
      <c r="E338" s="7"/>
      <c r="F338" s="7"/>
      <c r="G338" s="7"/>
      <c r="H338" s="10" t="str">
        <f>IF(AND(E338="",F338="",G338=""),"",IF(SUM(E338:G338)&gt;100,"ERROR",IF(AND(E10="TEST",SUM(E338:G338)&lt;=100),SUM(E338:G338),IF(AND(E10="*TEST",F338="",E338&lt;=30,G338&lt;=70),SUM(E338:G338),IF(AND(E10="*TEST",F338&lt;=20,E338&lt;=20,G338&lt;=60),SUM(E338:G338),IF(AND(E10="*TEST",F338="-",E338&lt;=20,G338&lt;=60),SUM(E338:G338),"ERROR"))))))</f>
        <v/>
      </c>
      <c r="I338" s="7" t="str">
        <f>IF(H338="ERROR","ERROR",IF(H338="","",IF(AND(F10="*LAB",F338="-"),"F",IF(H338&gt;69.5,"A",IF(H338&gt;59.5,"B",IF(H338&gt;49.5,"C",IF(AND(D10="*PROGRAM",H338&lt;49.5),"F",IF(H338&gt;44.5,"D",IF(H338&gt;39.5,"E","F")))))))))</f>
        <v/>
      </c>
      <c r="J338" s="7" t="str">
        <f t="shared" si="15"/>
        <v/>
      </c>
      <c r="K338" s="1"/>
    </row>
    <row r="339" ht="15.75" customHeight="1" spans="1:11">
      <c r="A339" s="7">
        <v>236</v>
      </c>
      <c r="B339" s="43"/>
      <c r="C339" s="7"/>
      <c r="D339" s="7" t="str">
        <f>IF(D11="","",IF(H339="","",D11))</f>
        <v/>
      </c>
      <c r="E339" s="7"/>
      <c r="F339" s="7"/>
      <c r="G339" s="7"/>
      <c r="H339" s="10" t="str">
        <f>IF(AND(E339="",F339="",G339=""),"",IF(SUM(E339:G339)&gt;100,"ERROR",IF(AND(E10="TEST",SUM(E339:G339)&lt;=100),SUM(E339:G339),IF(AND(E10="*TEST",F339="",E339&lt;=30,G339&lt;=70),SUM(E339:G339),IF(AND(E10="*TEST",F339&lt;=20,E339&lt;=20,G339&lt;=60),SUM(E339:G339),IF(AND(E10="*TEST",F339="-",E339&lt;=20,G339&lt;=60),SUM(E339:G339),"ERROR"))))))</f>
        <v/>
      </c>
      <c r="I339" s="7" t="str">
        <f>IF(H339="ERROR","ERROR",IF(H339="","",IF(AND(F10="*LAB",F339="-"),"F",IF(H339&gt;69.5,"A",IF(H339&gt;59.5,"B",IF(H339&gt;49.5,"C",IF(AND(D10="*PROGRAM",H339&lt;49.5),"F",IF(H339&gt;44.5,"D",IF(H339&gt;39.5,"E","F")))))))))</f>
        <v/>
      </c>
      <c r="J339" s="7" t="str">
        <f t="shared" si="15"/>
        <v/>
      </c>
      <c r="K339" s="1"/>
    </row>
    <row r="340" ht="15.75" customHeight="1" spans="1:11">
      <c r="A340" s="7">
        <v>237</v>
      </c>
      <c r="B340" s="43"/>
      <c r="C340" s="7"/>
      <c r="D340" s="7" t="str">
        <f>IF(D11="","",IF(H340="","",D11))</f>
        <v/>
      </c>
      <c r="E340" s="7"/>
      <c r="F340" s="7"/>
      <c r="G340" s="7"/>
      <c r="H340" s="10" t="str">
        <f>IF(AND(E340="",F340="",G340=""),"",IF(SUM(E340:G340)&gt;100,"ERROR",IF(AND(E10="TEST",SUM(E340:G340)&lt;=100),SUM(E340:G340),IF(AND(E10="*TEST",F340="",E340&lt;=30,G340&lt;=70),SUM(E340:G340),IF(AND(E10="*TEST",F340&lt;=20,E340&lt;=20,G340&lt;=60),SUM(E340:G340),IF(AND(E10="*TEST",F340="-",E340&lt;=20,G340&lt;=60),SUM(E340:G340),"ERROR"))))))</f>
        <v/>
      </c>
      <c r="I340" s="7" t="str">
        <f>IF(H340="ERROR","ERROR",IF(H340="","",IF(AND(F10="*LAB",F340="-"),"F",IF(H340&gt;69.5,"A",IF(H340&gt;59.5,"B",IF(H340&gt;49.5,"C",IF(AND(D10="*PROGRAM",H340&lt;49.5),"F",IF(H340&gt;44.5,"D",IF(H340&gt;39.5,"E","F")))))))))</f>
        <v/>
      </c>
      <c r="J340" s="7" t="str">
        <f t="shared" si="15"/>
        <v/>
      </c>
      <c r="K340" s="1"/>
    </row>
    <row r="341" ht="15.75" customHeight="1" spans="1:11">
      <c r="A341" s="7">
        <v>238</v>
      </c>
      <c r="B341" s="43"/>
      <c r="C341" s="7"/>
      <c r="D341" s="7" t="str">
        <f>IF(D11="","",IF(H341="","",D11))</f>
        <v/>
      </c>
      <c r="E341" s="7"/>
      <c r="F341" s="7"/>
      <c r="G341" s="7"/>
      <c r="H341" s="10" t="str">
        <f>IF(AND(E341="",F341="",G341=""),"",IF(SUM(E341:G341)&gt;100,"ERROR",IF(AND(E10="TEST",SUM(E341:G341)&lt;=100),SUM(E341:G341),IF(AND(E10="*TEST",F341="",E341&lt;=30,G341&lt;=70),SUM(E341:G341),IF(AND(E10="*TEST",F341&lt;=20,E341&lt;=20,G341&lt;=60),SUM(E341:G341),IF(AND(E10="*TEST",F341="-",E341&lt;=20,G341&lt;=60),SUM(E341:G341),"ERROR"))))))</f>
        <v/>
      </c>
      <c r="I341" s="7" t="str">
        <f>IF(H341="ERROR","ERROR",IF(H341="","",IF(AND(F10="*LAB",F341="-"),"F",IF(H341&gt;69.5,"A",IF(H341&gt;59.5,"B",IF(H341&gt;49.5,"C",IF(AND(D10="*PROGRAM",H341&lt;49.5),"F",IF(H341&gt;44.5,"D",IF(H341&gt;39.5,"E","F")))))))))</f>
        <v/>
      </c>
      <c r="J341" s="7" t="str">
        <f t="shared" si="15"/>
        <v/>
      </c>
      <c r="K341" s="1"/>
    </row>
    <row r="342" ht="15.75" customHeight="1" spans="1:11">
      <c r="A342" s="7">
        <v>239</v>
      </c>
      <c r="B342" s="43"/>
      <c r="C342" s="7"/>
      <c r="D342" s="7" t="str">
        <f>IF(D11="","",IF(H342="","",D11))</f>
        <v/>
      </c>
      <c r="E342" s="7"/>
      <c r="F342" s="7"/>
      <c r="G342" s="7"/>
      <c r="H342" s="10" t="str">
        <f>IF(AND(E342="",F342="",G342=""),"",IF(SUM(E342:G342)&gt;100,"ERROR",IF(AND(E10="TEST",SUM(E342:G342)&lt;=100),SUM(E342:G342),IF(AND(E10="*TEST",F342="",E342&lt;=30,G342&lt;=70),SUM(E342:G342),IF(AND(E10="*TEST",F342&lt;=20,E342&lt;=20,G342&lt;=60),SUM(E342:G342),IF(AND(E10="*TEST",F342="-",E342&lt;=20,G342&lt;=60),SUM(E342:G342),"ERROR"))))))</f>
        <v/>
      </c>
      <c r="I342" s="7" t="str">
        <f>IF(H342="ERROR","ERROR",IF(H342="","",IF(AND(F10="*LAB",F342="-"),"F",IF(H342&gt;69.5,"A",IF(H342&gt;59.5,"B",IF(H342&gt;49.5,"C",IF(AND(D10="*PROGRAM",H342&lt;49.5),"F",IF(H342&gt;44.5,"D",IF(H342&gt;39.5,"E","F")))))))))</f>
        <v/>
      </c>
      <c r="J342" s="7" t="str">
        <f t="shared" si="15"/>
        <v/>
      </c>
      <c r="K342" s="1"/>
    </row>
    <row r="343" ht="15.75" customHeight="1" spans="1:11">
      <c r="A343" s="7">
        <v>240</v>
      </c>
      <c r="B343" s="43"/>
      <c r="C343" s="7"/>
      <c r="D343" s="7" t="str">
        <f>IF(D11="","",IF(H343="","",D11))</f>
        <v/>
      </c>
      <c r="E343" s="7"/>
      <c r="F343" s="7"/>
      <c r="G343" s="7"/>
      <c r="H343" s="10" t="str">
        <f>IF(AND(E343="",F343="",G343=""),"",IF(SUM(E343:G343)&gt;100,"ERROR",IF(AND(E10="TEST",SUM(E343:G343)&lt;=100),SUM(E343:G343),IF(AND(E10="*TEST",F343="",E343&lt;=30,G343&lt;=70),SUM(E343:G343),IF(AND(E10="*TEST",F343&lt;=20,E343&lt;=20,G343&lt;=60),SUM(E343:G343),IF(AND(E10="*TEST",F343="-",E343&lt;=20,G343&lt;=60),SUM(E343:G343),"ERROR"))))))</f>
        <v/>
      </c>
      <c r="I343" s="7" t="str">
        <f>IF(H343="ERROR","ERROR",IF(H343="","",IF(AND(F10="*LAB",F343="-"),"F",IF(H343&gt;69.5,"A",IF(H343&gt;59.5,"B",IF(H343&gt;49.5,"C",IF(AND(D10="*PROGRAM",H343&lt;49.5),"F",IF(H343&gt;44.5,"D",IF(H343&gt;39.5,"E","F")))))))))</f>
        <v/>
      </c>
      <c r="J343" s="7" t="str">
        <f t="shared" si="15"/>
        <v/>
      </c>
      <c r="K343" s="1"/>
    </row>
    <row r="344" ht="24.75" customHeight="1" spans="1:11">
      <c r="A344" s="1"/>
      <c r="B344" s="12"/>
      <c r="C344" s="1"/>
      <c r="D344" s="1"/>
      <c r="E344" s="1"/>
      <c r="F344" s="1"/>
      <c r="G344" s="13"/>
      <c r="H344" s="14"/>
      <c r="I344" s="14"/>
      <c r="J344" s="14"/>
      <c r="K344" s="1"/>
    </row>
    <row r="345" ht="15.75" customHeight="1" spans="1:11">
      <c r="A345" s="1"/>
      <c r="B345" s="15" t="s">
        <v>60</v>
      </c>
      <c r="C345" s="13"/>
      <c r="D345" s="13"/>
      <c r="E345" s="13"/>
      <c r="F345" s="13"/>
      <c r="G345" s="16" t="s">
        <v>61</v>
      </c>
      <c r="H345" s="17"/>
      <c r="I345" s="17"/>
      <c r="J345" s="17"/>
      <c r="K345" s="1"/>
    </row>
    <row r="346" ht="15.75" customHeight="1" spans="1:11">
      <c r="A346" s="1" t="str">
        <f>IF(AND(I363="",I304&lt;&gt;""),A889,"")</f>
        <v/>
      </c>
      <c r="B346" s="2" t="str">
        <f>IF(A346="","",B889)</f>
        <v/>
      </c>
      <c r="C346" s="16" t="s">
        <v>62</v>
      </c>
      <c r="D346" s="17"/>
      <c r="E346" s="17"/>
      <c r="F346" s="17"/>
      <c r="G346" s="1"/>
      <c r="H346" s="1"/>
      <c r="I346" s="1"/>
      <c r="J346" s="1"/>
      <c r="K346" s="1"/>
    </row>
    <row r="347" ht="15.75" customHeight="1" spans="1:11">
      <c r="A347" s="1" t="str">
        <f>IF(A346="","",A890)</f>
        <v/>
      </c>
      <c r="B347" s="2" t="str">
        <f>IF(A346="","",B890)</f>
        <v/>
      </c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 spans="1:11">
      <c r="A348" s="1" t="str">
        <f>IF(A346="","",A891)</f>
        <v/>
      </c>
      <c r="B348" s="2" t="str">
        <f>IF(A346="","",B891)</f>
        <v/>
      </c>
      <c r="C348" s="18" t="s">
        <v>63</v>
      </c>
      <c r="D348" s="17"/>
      <c r="E348" s="17"/>
      <c r="F348" s="17"/>
      <c r="G348" s="17"/>
      <c r="H348" s="17"/>
      <c r="I348" s="17"/>
      <c r="J348" s="24"/>
      <c r="K348" s="1"/>
    </row>
    <row r="349" ht="15.75" customHeight="1" spans="1:11">
      <c r="A349" s="1" t="str">
        <f>IF(A346="","",A892)</f>
        <v/>
      </c>
      <c r="B349" s="2" t="str">
        <f>IF(A346="","",B892)</f>
        <v/>
      </c>
      <c r="C349" s="19" t="s">
        <v>64</v>
      </c>
      <c r="F349" s="15"/>
      <c r="G349" s="15" t="s">
        <v>65</v>
      </c>
      <c r="J349" s="25"/>
      <c r="K349" s="1"/>
    </row>
    <row r="350" ht="15.75" customHeight="1" spans="1:11">
      <c r="A350" s="1" t="str">
        <f>IF(A346="","",A893)</f>
        <v/>
      </c>
      <c r="B350" s="2" t="str">
        <f>IF(A346="","",B893)</f>
        <v/>
      </c>
      <c r="C350" s="19" t="s">
        <v>66</v>
      </c>
      <c r="F350" s="15"/>
      <c r="G350" s="15" t="s">
        <v>67</v>
      </c>
      <c r="J350" s="25"/>
      <c r="K350" s="1"/>
    </row>
    <row r="351" ht="15.75" customHeight="1" spans="1:11">
      <c r="A351" s="1" t="str">
        <f>IF(A346="","",A894)</f>
        <v/>
      </c>
      <c r="B351" s="2" t="str">
        <f>IF(A346="","",B894)</f>
        <v/>
      </c>
      <c r="C351" s="20" t="s">
        <v>68</v>
      </c>
      <c r="D351" s="14"/>
      <c r="E351" s="14"/>
      <c r="F351" s="21"/>
      <c r="G351" s="21" t="s">
        <v>69</v>
      </c>
      <c r="H351" s="14"/>
      <c r="I351" s="14"/>
      <c r="J351" s="26"/>
      <c r="K351" s="1"/>
    </row>
    <row r="352" ht="15.75" customHeight="1" spans="1:11">
      <c r="A352" s="1" t="str">
        <f>IF(A346="","",A895)</f>
        <v/>
      </c>
      <c r="B352" s="22" t="str">
        <f>IF(A346="","",B895)</f>
        <v/>
      </c>
      <c r="C352" s="1"/>
      <c r="D352" s="1"/>
      <c r="E352" s="1"/>
      <c r="F352" s="1"/>
      <c r="G352" s="1"/>
      <c r="H352" s="1"/>
      <c r="I352" s="1"/>
      <c r="J352" s="27" t="s">
        <v>178</v>
      </c>
      <c r="K352" s="1"/>
    </row>
    <row r="353" ht="15.75" customHeight="1" spans="1:11">
      <c r="A353" s="23"/>
      <c r="B353" s="23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 spans="1:11">
      <c r="A354" s="1"/>
      <c r="B354" s="3" t="s">
        <v>0</v>
      </c>
      <c r="K354" s="1"/>
    </row>
    <row r="355" ht="15.75" customHeight="1" spans="1:11">
      <c r="A355" s="1"/>
      <c r="B355" s="4" t="s">
        <v>1</v>
      </c>
      <c r="K355" s="1"/>
    </row>
    <row r="356" ht="15.75" customHeight="1" spans="1:1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 spans="1:11">
      <c r="A357" s="2" t="str">
        <f t="shared" ref="A357:A360" si="16">A5</f>
        <v>School of Student: SEET</v>
      </c>
      <c r="D357" s="1"/>
      <c r="E357" s="5">
        <f t="shared" ref="E357:E360" si="17">E5</f>
        <v>0</v>
      </c>
      <c r="K357" s="1"/>
    </row>
    <row r="358" ht="15.75" customHeight="1" spans="1:11">
      <c r="A358" s="2" t="str">
        <f t="shared" si="16"/>
        <v>Department: BIOMEDICAL ENGINEERING</v>
      </c>
      <c r="D358" s="1"/>
      <c r="E358" s="5" t="str">
        <f t="shared" si="17"/>
        <v>Session: ---------------------------------</v>
      </c>
      <c r="K358" s="1"/>
    </row>
    <row r="359" ht="15.75" customHeight="1" spans="1:11">
      <c r="A359" s="2" t="str">
        <f t="shared" si="16"/>
        <v>Title of Course: ------------------------</v>
      </c>
      <c r="D359" s="1"/>
      <c r="E359" s="5" t="str">
        <f t="shared" si="17"/>
        <v>Course Code: -------------------------</v>
      </c>
      <c r="K359" s="1"/>
    </row>
    <row r="360" ht="15.75" customHeight="1" spans="1:11">
      <c r="A360" s="2" t="str">
        <f t="shared" si="16"/>
        <v>School Offering Course: ----------------------------</v>
      </c>
      <c r="D360" s="1"/>
      <c r="E360" s="5" t="str">
        <f t="shared" si="17"/>
        <v>Date: -----------------------------</v>
      </c>
      <c r="K360" s="1"/>
    </row>
    <row r="361" ht="15.75" customHeight="1" spans="1:11">
      <c r="A361" s="1"/>
      <c r="B361" s="2"/>
      <c r="C361" s="1"/>
      <c r="D361" s="5"/>
      <c r="E361" s="5"/>
      <c r="F361" s="5"/>
      <c r="G361" s="5"/>
      <c r="H361" s="5"/>
      <c r="I361" s="5"/>
      <c r="J361" s="5"/>
      <c r="K361" s="1"/>
    </row>
    <row r="362" ht="15.75" customHeight="1" spans="1:11">
      <c r="A362" s="6" t="s">
        <v>9</v>
      </c>
      <c r="B362" s="6" t="s">
        <v>10</v>
      </c>
      <c r="C362" s="6" t="s">
        <v>11</v>
      </c>
      <c r="D362" s="6" t="s">
        <v>12</v>
      </c>
      <c r="E362" s="6" t="s">
        <v>13</v>
      </c>
      <c r="F362" s="6" t="s">
        <v>14</v>
      </c>
      <c r="G362" s="6" t="s">
        <v>15</v>
      </c>
      <c r="H362" s="6" t="s">
        <v>16</v>
      </c>
      <c r="I362" s="6" t="s">
        <v>17</v>
      </c>
      <c r="J362" s="6" t="s">
        <v>18</v>
      </c>
      <c r="K362" s="1"/>
    </row>
    <row r="363" ht="15.75" customHeight="1" spans="1:11">
      <c r="A363" s="7">
        <v>241</v>
      </c>
      <c r="B363" s="43"/>
      <c r="C363" s="7"/>
      <c r="D363" s="7" t="str">
        <f>IF(D11="","",IF(H363="","",D11))</f>
        <v/>
      </c>
      <c r="E363" s="7"/>
      <c r="F363" s="7"/>
      <c r="G363" s="7"/>
      <c r="H363" s="10" t="str">
        <f>IF(AND(E363="",F363="",G363=""),"",IF(SUM(E363:G363)&gt;100,"ERROR",IF(AND(E10="TEST",SUM(E363:G363)&lt;=100),SUM(E363:G363),IF(AND(E10="*TEST",F363="",E363&lt;=30,G363&lt;=70),SUM(E363:G363),IF(AND(E10="*TEST",F363&lt;=20,E363&lt;=20,G363&lt;=60),SUM(E363:G363),IF(AND(E10="*TEST",F363="-",E363&lt;=20,G363&lt;=60),SUM(E363:G363),"ERROR"))))))</f>
        <v/>
      </c>
      <c r="I363" s="7" t="str">
        <f>IF(H363="ERROR","ERROR",IF(H363="","",IF(AND(F10="*LAB",F363="-"),"F",IF(H363&gt;69.5,"A",IF(H363&gt;59.5,"B",IF(H363&gt;49.5,"C",IF(AND(D10="*PROGRAM",H363&lt;49.5),"F",IF(H363&gt;44.5,"D",IF(H363&gt;39.5,"E","F")))))))))</f>
        <v/>
      </c>
      <c r="J363" s="7" t="str">
        <f t="shared" ref="J363:J402" si="18">IF(H363="ERROR","ERROR",IF(I363="","",IF(I363="F","FAIL","PASS")))</f>
        <v/>
      </c>
      <c r="K363" s="1"/>
    </row>
    <row r="364" ht="15.75" customHeight="1" spans="1:11">
      <c r="A364" s="7">
        <v>242</v>
      </c>
      <c r="B364" s="43"/>
      <c r="C364" s="7"/>
      <c r="D364" s="7" t="str">
        <f>IF(D11="","",IF(H364="","",D11))</f>
        <v/>
      </c>
      <c r="E364" s="7"/>
      <c r="F364" s="7"/>
      <c r="G364" s="7"/>
      <c r="H364" s="10" t="str">
        <f>IF(AND(E364="",F364="",G364=""),"",IF(SUM(E364:G364)&gt;100,"ERROR",IF(AND(E10="TEST",SUM(E364:G364)&lt;=100),SUM(E364:G364),IF(AND(E10="*TEST",F364="",E364&lt;=30,G364&lt;=70),SUM(E364:G364),IF(AND(E10="*TEST",F364&lt;=20,E364&lt;=20,G364&lt;=60),SUM(E364:G364),IF(AND(E10="*TEST",F364="-",E364&lt;=20,G364&lt;=60),SUM(E364:G364),"ERROR"))))))</f>
        <v/>
      </c>
      <c r="I364" s="7" t="str">
        <f>IF(H364="ERROR","ERROR",IF(H364="","",IF(AND(F10="*LAB",F364="-"),"F",IF(H364&gt;69.5,"A",IF(H364&gt;59.5,"B",IF(H364&gt;49.5,"C",IF(AND(D10="*PROGRAM",H364&lt;49.5),"F",IF(H364&gt;44.5,"D",IF(H364&gt;39.5,"E","F")))))))))</f>
        <v/>
      </c>
      <c r="J364" s="7" t="str">
        <f t="shared" si="18"/>
        <v/>
      </c>
      <c r="K364" s="1"/>
    </row>
    <row r="365" ht="15.75" customHeight="1" spans="1:11">
      <c r="A365" s="7">
        <v>243</v>
      </c>
      <c r="B365" s="43"/>
      <c r="C365" s="7"/>
      <c r="D365" s="7" t="str">
        <f>IF(D11="","",IF(H365="","",D11))</f>
        <v/>
      </c>
      <c r="E365" s="7"/>
      <c r="F365" s="7"/>
      <c r="G365" s="7"/>
      <c r="H365" s="10" t="str">
        <f>IF(AND(E365="",F365="",G365=""),"",IF(SUM(E365:G365)&gt;100,"ERROR",IF(AND(E10="TEST",SUM(E365:G365)&lt;=100),SUM(E365:G365),IF(AND(E10="*TEST",F365="",E365&lt;=30,G365&lt;=70),SUM(E365:G365),IF(AND(E10="*TEST",F365&lt;=20,E365&lt;=20,G365&lt;=60),SUM(E365:G365),IF(AND(E10="*TEST",F365="-",E365&lt;=20,G365&lt;=60),SUM(E365:G365),"ERROR"))))))</f>
        <v/>
      </c>
      <c r="I365" s="7" t="str">
        <f>IF(H365="ERROR","ERROR",IF(H365="","",IF(AND(F10="*LAB",F365="-"),"F",IF(H365&gt;69.5,"A",IF(H365&gt;59.5,"B",IF(H365&gt;49.5,"C",IF(AND(D10="*PROGRAM",H365&lt;49.5),"F",IF(H365&gt;44.5,"D",IF(H365&gt;39.5,"E","F")))))))))</f>
        <v/>
      </c>
      <c r="J365" s="7" t="str">
        <f t="shared" si="18"/>
        <v/>
      </c>
      <c r="K365" s="1"/>
    </row>
    <row r="366" ht="15.75" customHeight="1" spans="1:11">
      <c r="A366" s="7">
        <v>244</v>
      </c>
      <c r="B366" s="43"/>
      <c r="C366" s="7"/>
      <c r="D366" s="7" t="str">
        <f>IF(D11="","",IF(H366="","",D11))</f>
        <v/>
      </c>
      <c r="E366" s="7"/>
      <c r="F366" s="7"/>
      <c r="G366" s="7"/>
      <c r="H366" s="10" t="str">
        <f>IF(AND(E366="",F366="",G366=""),"",IF(SUM(E366:G366)&gt;100,"ERROR",IF(AND(E10="TEST",SUM(E366:G366)&lt;=100),SUM(E366:G366),IF(AND(E10="*TEST",F366="",E366&lt;=30,G366&lt;=70),SUM(E366:G366),IF(AND(E10="*TEST",F366&lt;=20,E366&lt;=20,G366&lt;=60),SUM(E366:G366),IF(AND(E10="*TEST",F366="-",E366&lt;=20,G366&lt;=60),SUM(E366:G366),"ERROR"))))))</f>
        <v/>
      </c>
      <c r="I366" s="7" t="str">
        <f>IF(H366="ERROR","ERROR",IF(H366="","",IF(AND(F10="*LAB",F366="-"),"F",IF(H366&gt;69.5,"A",IF(H366&gt;59.5,"B",IF(H366&gt;49.5,"C",IF(AND(D10="*PROGRAM",H366&lt;49.5),"F",IF(H366&gt;44.5,"D",IF(H366&gt;39.5,"E","F")))))))))</f>
        <v/>
      </c>
      <c r="J366" s="7" t="str">
        <f t="shared" si="18"/>
        <v/>
      </c>
      <c r="K366" s="1"/>
    </row>
    <row r="367" ht="15.75" customHeight="1" spans="1:11">
      <c r="A367" s="7">
        <v>245</v>
      </c>
      <c r="B367" s="43"/>
      <c r="C367" s="7"/>
      <c r="D367" s="7" t="str">
        <f>IF(D11="","",IF(H367="","",D11))</f>
        <v/>
      </c>
      <c r="E367" s="7"/>
      <c r="F367" s="7"/>
      <c r="G367" s="7"/>
      <c r="H367" s="10" t="str">
        <f>IF(AND(E367="",F367="",G367=""),"",IF(SUM(E367:G367)&gt;100,"ERROR",IF(AND(E10="TEST",SUM(E367:G367)&lt;=100),SUM(E367:G367),IF(AND(E10="*TEST",F367="",E367&lt;=30,G367&lt;=70),SUM(E367:G367),IF(AND(E10="*TEST",F367&lt;=20,E367&lt;=20,G367&lt;=60),SUM(E367:G367),IF(AND(E10="*TEST",F367="-",E367&lt;=20,G367&lt;=60),SUM(E367:G367),"ERROR"))))))</f>
        <v/>
      </c>
      <c r="I367" s="7" t="str">
        <f>IF(H367="ERROR","ERROR",IF(H367="","",IF(AND(F10="*LAB",F367="-"),"F",IF(H367&gt;69.5,"A",IF(H367&gt;59.5,"B",IF(H367&gt;49.5,"C",IF(AND(D10="*PROGRAM",H367&lt;49.5),"F",IF(H367&gt;44.5,"D",IF(H367&gt;39.5,"E","F")))))))))</f>
        <v/>
      </c>
      <c r="J367" s="7" t="str">
        <f t="shared" si="18"/>
        <v/>
      </c>
      <c r="K367" s="1"/>
    </row>
    <row r="368" ht="15.75" customHeight="1" spans="1:11">
      <c r="A368" s="7">
        <v>246</v>
      </c>
      <c r="B368" s="43"/>
      <c r="C368" s="7"/>
      <c r="D368" s="7" t="str">
        <f>IF(D11="","",IF(H368="","",D11))</f>
        <v/>
      </c>
      <c r="E368" s="7"/>
      <c r="F368" s="7"/>
      <c r="G368" s="7"/>
      <c r="H368" s="10" t="str">
        <f>IF(AND(E368="",F368="",G368=""),"",IF(SUM(E368:G368)&gt;100,"ERROR",IF(AND(E10="TEST",SUM(E368:G368)&lt;=100),SUM(E368:G368),IF(AND(E10="*TEST",F368="",E368&lt;=30,G368&lt;=70),SUM(E368:G368),IF(AND(E10="*TEST",F368&lt;=20,E368&lt;=20,G368&lt;=60),SUM(E368:G368),IF(AND(E10="*TEST",F368="-",E368&lt;=20,G368&lt;=60),SUM(E368:G368),"ERROR"))))))</f>
        <v/>
      </c>
      <c r="I368" s="7" t="str">
        <f>IF(H368="ERROR","ERROR",IF(H368="","",IF(AND(F10="*LAB",F368="-"),"F",IF(H368&gt;69.5,"A",IF(H368&gt;59.5,"B",IF(H368&gt;49.5,"C",IF(AND(D10="*PROGRAM",H368&lt;49.5),"F",IF(H368&gt;44.5,"D",IF(H368&gt;39.5,"E","F")))))))))</f>
        <v/>
      </c>
      <c r="J368" s="7" t="str">
        <f t="shared" si="18"/>
        <v/>
      </c>
      <c r="K368" s="1"/>
    </row>
    <row r="369" ht="15.75" customHeight="1" spans="1:11">
      <c r="A369" s="7">
        <v>247</v>
      </c>
      <c r="B369" s="43"/>
      <c r="C369" s="7"/>
      <c r="D369" s="7" t="str">
        <f>IF(D11="","",IF(H369="","",D11))</f>
        <v/>
      </c>
      <c r="E369" s="7"/>
      <c r="F369" s="7"/>
      <c r="G369" s="7"/>
      <c r="H369" s="10" t="str">
        <f>IF(AND(E369="",F369="",G369=""),"",IF(SUM(E369:G369)&gt;100,"ERROR",IF(AND(E10="TEST",SUM(E369:G369)&lt;=100),SUM(E369:G369),IF(AND(E10="*TEST",F369="",E369&lt;=30,G369&lt;=70),SUM(E369:G369),IF(AND(E10="*TEST",F369&lt;=20,E369&lt;=20,G369&lt;=60),SUM(E369:G369),IF(AND(E10="*TEST",F369="-",E369&lt;=20,G369&lt;=60),SUM(E369:G369),"ERROR"))))))</f>
        <v/>
      </c>
      <c r="I369" s="7" t="str">
        <f>IF(H369="ERROR","ERROR",IF(H369="","",IF(AND(F10="*LAB",F369="-"),"F",IF(H369&gt;69.5,"A",IF(H369&gt;59.5,"B",IF(H369&gt;49.5,"C",IF(AND(D10="*PROGRAM",H369&lt;49.5),"F",IF(H369&gt;44.5,"D",IF(H369&gt;39.5,"E","F")))))))))</f>
        <v/>
      </c>
      <c r="J369" s="7" t="str">
        <f t="shared" si="18"/>
        <v/>
      </c>
      <c r="K369" s="1"/>
    </row>
    <row r="370" ht="15.75" customHeight="1" spans="1:11">
      <c r="A370" s="7">
        <v>248</v>
      </c>
      <c r="B370" s="43"/>
      <c r="C370" s="7"/>
      <c r="D370" s="7" t="str">
        <f>IF(D11="","",IF(H370="","",D11))</f>
        <v/>
      </c>
      <c r="E370" s="7"/>
      <c r="F370" s="7"/>
      <c r="G370" s="7"/>
      <c r="H370" s="10" t="str">
        <f>IF(AND(E370="",F370="",G370=""),"",IF(SUM(E370:G370)&gt;100,"ERROR",IF(AND(E10="TEST",SUM(E370:G370)&lt;=100),SUM(E370:G370),IF(AND(E10="*TEST",F370="",E370&lt;=30,G370&lt;=70),SUM(E370:G370),IF(AND(E10="*TEST",F370&lt;=20,E370&lt;=20,G370&lt;=60),SUM(E370:G370),IF(AND(E10="*TEST",F370="-",E370&lt;=20,G370&lt;=60),SUM(E370:G370),"ERROR"))))))</f>
        <v/>
      </c>
      <c r="I370" s="7" t="str">
        <f>IF(H370="ERROR","ERROR",IF(H370="","",IF(AND(F10="*LAB",F370="-"),"F",IF(H370&gt;69.5,"A",IF(H370&gt;59.5,"B",IF(H370&gt;49.5,"C",IF(AND(D10="*PROGRAM",H370&lt;49.5),"F",IF(H370&gt;44.5,"D",IF(H370&gt;39.5,"E","F")))))))))</f>
        <v/>
      </c>
      <c r="J370" s="7" t="str">
        <f t="shared" si="18"/>
        <v/>
      </c>
      <c r="K370" s="1"/>
    </row>
    <row r="371" ht="15.75" customHeight="1" spans="1:11">
      <c r="A371" s="7">
        <v>249</v>
      </c>
      <c r="B371" s="43"/>
      <c r="C371" s="7"/>
      <c r="D371" s="7" t="str">
        <f>IF(D11="","",IF(H371="","",D11))</f>
        <v/>
      </c>
      <c r="E371" s="7"/>
      <c r="F371" s="7"/>
      <c r="G371" s="7"/>
      <c r="H371" s="10" t="str">
        <f>IF(AND(E371="",F371="",G371=""),"",IF(SUM(E371:G371)&gt;100,"ERROR",IF(AND(E10="TEST",SUM(E371:G371)&lt;=100),SUM(E371:G371),IF(AND(E10="*TEST",F371="",E371&lt;=30,G371&lt;=70),SUM(E371:G371),IF(AND(E10="*TEST",F371&lt;=20,E371&lt;=20,G371&lt;=60),SUM(E371:G371),IF(AND(E10="*TEST",F371="-",E371&lt;=20,G371&lt;=60),SUM(E371:G371),"ERROR"))))))</f>
        <v/>
      </c>
      <c r="I371" s="7" t="str">
        <f>IF(H371="ERROR","ERROR",IF(H371="","",IF(AND(F10="*LAB",F371="-"),"F",IF(H371&gt;69.5,"A",IF(H371&gt;59.5,"B",IF(H371&gt;49.5,"C",IF(AND(D10="*PROGRAM",H371&lt;49.5),"F",IF(H371&gt;44.5,"D",IF(H371&gt;39.5,"E","F")))))))))</f>
        <v/>
      </c>
      <c r="J371" s="7" t="str">
        <f t="shared" si="18"/>
        <v/>
      </c>
      <c r="K371" s="1"/>
    </row>
    <row r="372" ht="15.75" customHeight="1" spans="1:11">
      <c r="A372" s="7">
        <v>250</v>
      </c>
      <c r="B372" s="43"/>
      <c r="C372" s="7"/>
      <c r="D372" s="7" t="str">
        <f>IF(D11="","",IF(H372="","",D11))</f>
        <v/>
      </c>
      <c r="E372" s="7"/>
      <c r="F372" s="7"/>
      <c r="G372" s="7"/>
      <c r="H372" s="10" t="str">
        <f>IF(AND(E372="",F372="",G372=""),"",IF(SUM(E372:G372)&gt;100,"ERROR",IF(AND(E10="TEST",SUM(E372:G372)&lt;=100),SUM(E372:G372),IF(AND(E10="*TEST",F372="",E372&lt;=30,G372&lt;=70),SUM(E372:G372),IF(AND(E10="*TEST",F372&lt;=20,E372&lt;=20,G372&lt;=60),SUM(E372:G372),IF(AND(E10="*TEST",F372="-",E372&lt;=20,G372&lt;=60),SUM(E372:G372),"ERROR"))))))</f>
        <v/>
      </c>
      <c r="I372" s="7" t="str">
        <f>IF(H372="ERROR","ERROR",IF(H372="","",IF(AND(F10="*LAB",F372="-"),"F",IF(H372&gt;69.5,"A",IF(H372&gt;59.5,"B",IF(H372&gt;49.5,"C",IF(AND(D10="*PROGRAM",H372&lt;49.5),"F",IF(H372&gt;44.5,"D",IF(H372&gt;39.5,"E","F")))))))))</f>
        <v/>
      </c>
      <c r="J372" s="7" t="str">
        <f t="shared" si="18"/>
        <v/>
      </c>
      <c r="K372" s="1"/>
    </row>
    <row r="373" ht="15.75" customHeight="1" spans="1:11">
      <c r="A373" s="7">
        <v>251</v>
      </c>
      <c r="B373" s="43"/>
      <c r="C373" s="7"/>
      <c r="D373" s="7" t="str">
        <f>IF(D11="","",IF(H373="","",D11))</f>
        <v/>
      </c>
      <c r="E373" s="7"/>
      <c r="F373" s="7"/>
      <c r="G373" s="7"/>
      <c r="H373" s="10" t="str">
        <f>IF(AND(E373="",F373="",G373=""),"",IF(SUM(E373:G373)&gt;100,"ERROR",IF(AND(E10="TEST",SUM(E373:G373)&lt;=100),SUM(E373:G373),IF(AND(E10="*TEST",F373="",E373&lt;=30,G373&lt;=70),SUM(E373:G373),IF(AND(E10="*TEST",F373&lt;=20,E373&lt;=20,G373&lt;=60),SUM(E373:G373),IF(AND(E10="*TEST",F373="-",E373&lt;=20,G373&lt;=60),SUM(E373:G373),"ERROR"))))))</f>
        <v/>
      </c>
      <c r="I373" s="7" t="str">
        <f>IF(H373="ERROR","ERROR",IF(H373="","",IF(AND(F10="*LAB",F373="-"),"F",IF(H373&gt;69.5,"A",IF(H373&gt;59.5,"B",IF(H373&gt;49.5,"C",IF(AND(D10="*PROGRAM",H373&lt;49.5),"F",IF(H373&gt;44.5,"D",IF(H373&gt;39.5,"E","F")))))))))</f>
        <v/>
      </c>
      <c r="J373" s="7" t="str">
        <f t="shared" si="18"/>
        <v/>
      </c>
      <c r="K373" s="1"/>
    </row>
    <row r="374" ht="15.75" customHeight="1" spans="1:11">
      <c r="A374" s="7">
        <v>252</v>
      </c>
      <c r="B374" s="43"/>
      <c r="C374" s="7"/>
      <c r="D374" s="7" t="str">
        <f>IF(D11="","",IF(H374="","",D11))</f>
        <v/>
      </c>
      <c r="E374" s="7"/>
      <c r="F374" s="7"/>
      <c r="G374" s="7"/>
      <c r="H374" s="10" t="str">
        <f>IF(AND(E374="",F374="",G374=""),"",IF(SUM(E374:G374)&gt;100,"ERROR",IF(AND(E10="TEST",SUM(E374:G374)&lt;=100),SUM(E374:G374),IF(AND(E10="*TEST",F374="",E374&lt;=30,G374&lt;=70),SUM(E374:G374),IF(AND(E10="*TEST",F374&lt;=20,E374&lt;=20,G374&lt;=60),SUM(E374:G374),IF(AND(E10="*TEST",F374="-",E374&lt;=20,G374&lt;=60),SUM(E374:G374),"ERROR"))))))</f>
        <v/>
      </c>
      <c r="I374" s="7" t="str">
        <f>IF(H374="ERROR","ERROR",IF(H374="","",IF(AND(F10="*LAB",F374="-"),"F",IF(H374&gt;69.5,"A",IF(H374&gt;59.5,"B",IF(H374&gt;49.5,"C",IF(AND(D10="*PROGRAM",H374&lt;49.5),"F",IF(H374&gt;44.5,"D",IF(H374&gt;39.5,"E","F")))))))))</f>
        <v/>
      </c>
      <c r="J374" s="7" t="str">
        <f t="shared" si="18"/>
        <v/>
      </c>
      <c r="K374" s="1"/>
    </row>
    <row r="375" ht="15.75" customHeight="1" spans="1:11">
      <c r="A375" s="7">
        <v>253</v>
      </c>
      <c r="B375" s="43"/>
      <c r="C375" s="7"/>
      <c r="D375" s="7" t="str">
        <f>IF(D11="","",IF(H375="","",D11))</f>
        <v/>
      </c>
      <c r="E375" s="7"/>
      <c r="F375" s="7"/>
      <c r="G375" s="7"/>
      <c r="H375" s="10" t="str">
        <f>IF(AND(E375="",F375="",G375=""),"",IF(SUM(E375:G375)&gt;100,"ERROR",IF(AND(E10="TEST",SUM(E375:G375)&lt;=100),SUM(E375:G375),IF(AND(E10="*TEST",F375="",E375&lt;=30,G375&lt;=70),SUM(E375:G375),IF(AND(E10="*TEST",F375&lt;=20,E375&lt;=20,G375&lt;=60),SUM(E375:G375),IF(AND(E10="*TEST",F375="-",E375&lt;=20,G375&lt;=60),SUM(E375:G375),"ERROR"))))))</f>
        <v/>
      </c>
      <c r="I375" s="7" t="str">
        <f>IF(H375="ERROR","ERROR",IF(H375="","",IF(AND(F10="*LAB",F375="-"),"F",IF(H375&gt;69.5,"A",IF(H375&gt;59.5,"B",IF(H375&gt;49.5,"C",IF(AND(D10="*PROGRAM",H375&lt;49.5),"F",IF(H375&gt;44.5,"D",IF(H375&gt;39.5,"E","F")))))))))</f>
        <v/>
      </c>
      <c r="J375" s="7" t="str">
        <f t="shared" si="18"/>
        <v/>
      </c>
      <c r="K375" s="1"/>
    </row>
    <row r="376" ht="15.75" customHeight="1" spans="1:11">
      <c r="A376" s="7">
        <v>254</v>
      </c>
      <c r="B376" s="43"/>
      <c r="C376" s="7"/>
      <c r="D376" s="7" t="str">
        <f>IF(D11="","",IF(H376="","",D11))</f>
        <v/>
      </c>
      <c r="E376" s="7"/>
      <c r="F376" s="7"/>
      <c r="G376" s="7"/>
      <c r="H376" s="10" t="str">
        <f>IF(AND(E376="",F376="",G376=""),"",IF(SUM(E376:G376)&gt;100,"ERROR",IF(AND(E10="TEST",SUM(E376:G376)&lt;=100),SUM(E376:G376),IF(AND(E10="*TEST",F376="",E376&lt;=30,G376&lt;=70),SUM(E376:G376),IF(AND(E10="*TEST",F376&lt;=20,E376&lt;=20,G376&lt;=60),SUM(E376:G376),IF(AND(E10="*TEST",F376="-",E376&lt;=20,G376&lt;=60),SUM(E376:G376),"ERROR"))))))</f>
        <v/>
      </c>
      <c r="I376" s="7" t="str">
        <f>IF(H376="ERROR","ERROR",IF(H376="","",IF(AND(F10="*LAB",F376="-"),"F",IF(H376&gt;69.5,"A",IF(H376&gt;59.5,"B",IF(H376&gt;49.5,"C",IF(AND(D10="*PROGRAM",H376&lt;49.5),"F",IF(H376&gt;44.5,"D",IF(H376&gt;39.5,"E","F")))))))))</f>
        <v/>
      </c>
      <c r="J376" s="7" t="str">
        <f t="shared" si="18"/>
        <v/>
      </c>
      <c r="K376" s="1"/>
    </row>
    <row r="377" ht="15.75" customHeight="1" spans="1:11">
      <c r="A377" s="7">
        <v>255</v>
      </c>
      <c r="B377" s="43"/>
      <c r="C377" s="7"/>
      <c r="D377" s="7" t="str">
        <f>IF(D11="","",IF(H377="","",D11))</f>
        <v/>
      </c>
      <c r="E377" s="7"/>
      <c r="F377" s="7"/>
      <c r="G377" s="7"/>
      <c r="H377" s="10" t="str">
        <f>IF(AND(E377="",F377="",G377=""),"",IF(SUM(E377:G377)&gt;100,"ERROR",IF(AND(E10="TEST",SUM(E377:G377)&lt;=100),SUM(E377:G377),IF(AND(E10="*TEST",F377="",E377&lt;=30,G377&lt;=70),SUM(E377:G377),IF(AND(E10="*TEST",F377&lt;=20,E377&lt;=20,G377&lt;=60),SUM(E377:G377),IF(AND(E10="*TEST",F377="-",E377&lt;=20,G377&lt;=60),SUM(E377:G377),"ERROR"))))))</f>
        <v/>
      </c>
      <c r="I377" s="7" t="str">
        <f>IF(H377="ERROR","ERROR",IF(H377="","",IF(AND(F10="*LAB",F377="-"),"F",IF(H377&gt;69.5,"A",IF(H377&gt;59.5,"B",IF(H377&gt;49.5,"C",IF(AND(D10="*PROGRAM",H377&lt;49.5),"F",IF(H377&gt;44.5,"D",IF(H377&gt;39.5,"E","F")))))))))</f>
        <v/>
      </c>
      <c r="J377" s="7" t="str">
        <f t="shared" si="18"/>
        <v/>
      </c>
      <c r="K377" s="1"/>
    </row>
    <row r="378" ht="15.75" customHeight="1" spans="1:11">
      <c r="A378" s="7">
        <v>256</v>
      </c>
      <c r="B378" s="43"/>
      <c r="C378" s="7"/>
      <c r="D378" s="7" t="str">
        <f>IF(D11="","",IF(H378="","",D11))</f>
        <v/>
      </c>
      <c r="E378" s="7"/>
      <c r="F378" s="7"/>
      <c r="G378" s="7"/>
      <c r="H378" s="10" t="str">
        <f>IF(AND(E378="",F378="",G378=""),"",IF(SUM(E378:G378)&gt;100,"ERROR",IF(AND(E10="TEST",SUM(E378:G378)&lt;=100),SUM(E378:G378),IF(AND(E10="*TEST",F378="",E378&lt;=30,G378&lt;=70),SUM(E378:G378),IF(AND(E10="*TEST",F378&lt;=20,E378&lt;=20,G378&lt;=60),SUM(E378:G378),IF(AND(E10="*TEST",F378="-",E378&lt;=20,G378&lt;=60),SUM(E378:G378),"ERROR"))))))</f>
        <v/>
      </c>
      <c r="I378" s="7" t="str">
        <f>IF(H378="ERROR","ERROR",IF(H378="","",IF(AND(F10="*LAB",F378="-"),"F",IF(H378&gt;69.5,"A",IF(H378&gt;59.5,"B",IF(H378&gt;49.5,"C",IF(AND(D10="*PROGRAM",H378&lt;49.5),"F",IF(H378&gt;44.5,"D",IF(H378&gt;39.5,"E","F")))))))))</f>
        <v/>
      </c>
      <c r="J378" s="7" t="str">
        <f t="shared" si="18"/>
        <v/>
      </c>
      <c r="K378" s="1"/>
    </row>
    <row r="379" ht="15.75" customHeight="1" spans="1:11">
      <c r="A379" s="7">
        <v>257</v>
      </c>
      <c r="B379" s="43"/>
      <c r="C379" s="7"/>
      <c r="D379" s="7" t="str">
        <f>IF(D11="","",IF(H379="","",D11))</f>
        <v/>
      </c>
      <c r="E379" s="7"/>
      <c r="F379" s="7"/>
      <c r="G379" s="7"/>
      <c r="H379" s="10" t="str">
        <f>IF(AND(E379="",F379="",G379=""),"",IF(SUM(E379:G379)&gt;100,"ERROR",IF(AND(E10="TEST",SUM(E379:G379)&lt;=100),SUM(E379:G379),IF(AND(E10="*TEST",F379="",E379&lt;=30,G379&lt;=70),SUM(E379:G379),IF(AND(E10="*TEST",F379&lt;=20,E379&lt;=20,G379&lt;=60),SUM(E379:G379),IF(AND(E10="*TEST",F379="-",E379&lt;=20,G379&lt;=60),SUM(E379:G379),"ERROR"))))))</f>
        <v/>
      </c>
      <c r="I379" s="7" t="str">
        <f>IF(H379="ERROR","ERROR",IF(H379="","",IF(AND(F10="*LAB",F379="-"),"F",IF(H379&gt;69.5,"A",IF(H379&gt;59.5,"B",IF(H379&gt;49.5,"C",IF(AND(D10="*PROGRAM",H379&lt;49.5),"F",IF(H379&gt;44.5,"D",IF(H379&gt;39.5,"E","F")))))))))</f>
        <v/>
      </c>
      <c r="J379" s="7" t="str">
        <f t="shared" si="18"/>
        <v/>
      </c>
      <c r="K379" s="1"/>
    </row>
    <row r="380" ht="15.75" customHeight="1" spans="1:11">
      <c r="A380" s="7">
        <v>258</v>
      </c>
      <c r="B380" s="43"/>
      <c r="C380" s="7"/>
      <c r="D380" s="7" t="str">
        <f>IF(D11="","",IF(H380="","",D11))</f>
        <v/>
      </c>
      <c r="E380" s="7"/>
      <c r="F380" s="7"/>
      <c r="G380" s="7"/>
      <c r="H380" s="10" t="str">
        <f>IF(AND(E380="",F380="",G380=""),"",IF(SUM(E380:G380)&gt;100,"ERROR",IF(AND(E10="TEST",SUM(E380:G380)&lt;=100),SUM(E380:G380),IF(AND(E10="*TEST",F380="",E380&lt;=30,G380&lt;=70),SUM(E380:G380),IF(AND(E10="*TEST",F380&lt;=20,E380&lt;=20,G380&lt;=60),SUM(E380:G380),IF(AND(E10="*TEST",F380="-",E380&lt;=20,G380&lt;=60),SUM(E380:G380),"ERROR"))))))</f>
        <v/>
      </c>
      <c r="I380" s="7" t="str">
        <f>IF(H380="ERROR","ERROR",IF(H380="","",IF(AND(F10="*LAB",F380="-"),"F",IF(H380&gt;69.5,"A",IF(H380&gt;59.5,"B",IF(H380&gt;49.5,"C",IF(AND(D10="*PROGRAM",H380&lt;49.5),"F",IF(H380&gt;44.5,"D",IF(H380&gt;39.5,"E","F")))))))))</f>
        <v/>
      </c>
      <c r="J380" s="7" t="str">
        <f t="shared" si="18"/>
        <v/>
      </c>
      <c r="K380" s="1"/>
    </row>
    <row r="381" ht="15.75" customHeight="1" spans="1:11">
      <c r="A381" s="7">
        <v>259</v>
      </c>
      <c r="B381" s="43"/>
      <c r="C381" s="7"/>
      <c r="D381" s="7" t="str">
        <f>IF(D11="","",IF(H381="","",D11))</f>
        <v/>
      </c>
      <c r="E381" s="7"/>
      <c r="F381" s="7"/>
      <c r="G381" s="7"/>
      <c r="H381" s="10" t="str">
        <f>IF(AND(E381="",F381="",G381=""),"",IF(SUM(E381:G381)&gt;100,"ERROR",IF(AND(E10="TEST",SUM(E381:G381)&lt;=100),SUM(E381:G381),IF(AND(E10="*TEST",F381="",E381&lt;=30,G381&lt;=70),SUM(E381:G381),IF(AND(E10="*TEST",F381&lt;=20,E381&lt;=20,G381&lt;=60),SUM(E381:G381),IF(AND(E10="*TEST",F381="-",E381&lt;=20,G381&lt;=60),SUM(E381:G381),"ERROR"))))))</f>
        <v/>
      </c>
      <c r="I381" s="7" t="str">
        <f>IF(H381="ERROR","ERROR",IF(H381="","",IF(AND(F10="*LAB",F381="-"),"F",IF(H381&gt;69.5,"A",IF(H381&gt;59.5,"B",IF(H381&gt;49.5,"C",IF(AND(D10="*PROGRAM",H381&lt;49.5),"F",IF(H381&gt;44.5,"D",IF(H381&gt;39.5,"E","F")))))))))</f>
        <v/>
      </c>
      <c r="J381" s="7" t="str">
        <f t="shared" si="18"/>
        <v/>
      </c>
      <c r="K381" s="1"/>
    </row>
    <row r="382" ht="15.75" customHeight="1" spans="1:11">
      <c r="A382" s="7">
        <v>260</v>
      </c>
      <c r="B382" s="43"/>
      <c r="C382" s="7"/>
      <c r="D382" s="7" t="str">
        <f>IF(D11="","",IF(H382="","",D11))</f>
        <v/>
      </c>
      <c r="E382" s="7"/>
      <c r="F382" s="7"/>
      <c r="G382" s="7"/>
      <c r="H382" s="10" t="str">
        <f>IF(AND(E382="",F382="",G382=""),"",IF(SUM(E382:G382)&gt;100,"ERROR",IF(AND(E10="TEST",SUM(E382:G382)&lt;=100),SUM(E382:G382),IF(AND(E10="*TEST",F382="",E382&lt;=30,G382&lt;=70),SUM(E382:G382),IF(AND(E10="*TEST",F382&lt;=20,E382&lt;=20,G382&lt;=60),SUM(E382:G382),IF(AND(E10="*TEST",F382="-",E382&lt;=20,G382&lt;=60),SUM(E382:G382),"ERROR"))))))</f>
        <v/>
      </c>
      <c r="I382" s="7" t="str">
        <f>IF(H382="ERROR","ERROR",IF(H382="","",IF(AND(F10="*LAB",F382="-"),"F",IF(H382&gt;69.5,"A",IF(H382&gt;59.5,"B",IF(H382&gt;49.5,"C",IF(AND(D10="*PROGRAM",H382&lt;49.5),"F",IF(H382&gt;44.5,"D",IF(H382&gt;39.5,"E","F")))))))))</f>
        <v/>
      </c>
      <c r="J382" s="7" t="str">
        <f t="shared" si="18"/>
        <v/>
      </c>
      <c r="K382" s="1"/>
    </row>
    <row r="383" ht="15.75" customHeight="1" spans="1:11">
      <c r="A383" s="7">
        <v>261</v>
      </c>
      <c r="B383" s="43"/>
      <c r="C383" s="7"/>
      <c r="D383" s="7" t="str">
        <f>IF(D11="","",IF(H383="","",D11))</f>
        <v/>
      </c>
      <c r="E383" s="7"/>
      <c r="F383" s="7"/>
      <c r="G383" s="7"/>
      <c r="H383" s="10" t="str">
        <f>IF(AND(E383="",F383="",G383=""),"",IF(SUM(E383:G383)&gt;100,"ERROR",IF(AND(E10="TEST",SUM(E383:G383)&lt;=100),SUM(E383:G383),IF(AND(E10="*TEST",F383="",E383&lt;=30,G383&lt;=70),SUM(E383:G383),IF(AND(E10="*TEST",F383&lt;=20,E383&lt;=20,G383&lt;=60),SUM(E383:G383),IF(AND(E10="*TEST",F383="-",E383&lt;=20,G383&lt;=60),SUM(E383:G383),"ERROR"))))))</f>
        <v/>
      </c>
      <c r="I383" s="7" t="str">
        <f>IF(H383="ERROR","ERROR",IF(H383="","",IF(AND(F10="*LAB",F383="-"),"F",IF(H383&gt;69.5,"A",IF(H383&gt;59.5,"B",IF(H383&gt;49.5,"C",IF(AND(D10="*PROGRAM",H383&lt;49.5),"F",IF(H383&gt;44.5,"D",IF(H383&gt;39.5,"E","F")))))))))</f>
        <v/>
      </c>
      <c r="J383" s="7" t="str">
        <f t="shared" si="18"/>
        <v/>
      </c>
      <c r="K383" s="1"/>
    </row>
    <row r="384" ht="15.75" customHeight="1" spans="1:11">
      <c r="A384" s="7">
        <v>262</v>
      </c>
      <c r="B384" s="43"/>
      <c r="C384" s="7"/>
      <c r="D384" s="7" t="str">
        <f>IF(D11="","",IF(H384="","",D11))</f>
        <v/>
      </c>
      <c r="E384" s="7"/>
      <c r="F384" s="7"/>
      <c r="G384" s="7"/>
      <c r="H384" s="10" t="str">
        <f>IF(AND(E384="",F384="",G384=""),"",IF(SUM(E384:G384)&gt;100,"ERROR",IF(AND(E10="TEST",SUM(E384:G384)&lt;=100),SUM(E384:G384),IF(AND(E10="*TEST",F384="",E384&lt;=30,G384&lt;=70),SUM(E384:G384),IF(AND(E10="*TEST",F384&lt;=20,E384&lt;=20,G384&lt;=60),SUM(E384:G384),IF(AND(E10="*TEST",F384="-",E384&lt;=20,G384&lt;=60),SUM(E384:G384),"ERROR"))))))</f>
        <v/>
      </c>
      <c r="I384" s="7" t="str">
        <f>IF(H384="ERROR","ERROR",IF(H384="","",IF(AND(F10="*LAB",F384="-"),"F",IF(H384&gt;69.5,"A",IF(H384&gt;59.5,"B",IF(H384&gt;49.5,"C",IF(AND(D10="*PROGRAM",H384&lt;49.5),"F",IF(H384&gt;44.5,"D",IF(H384&gt;39.5,"E","F")))))))))</f>
        <v/>
      </c>
      <c r="J384" s="7" t="str">
        <f t="shared" si="18"/>
        <v/>
      </c>
      <c r="K384" s="1"/>
    </row>
    <row r="385" ht="15.75" customHeight="1" spans="1:11">
      <c r="A385" s="7">
        <v>263</v>
      </c>
      <c r="B385" s="43"/>
      <c r="C385" s="7"/>
      <c r="D385" s="7" t="str">
        <f>IF(D11="","",IF(H385="","",D11))</f>
        <v/>
      </c>
      <c r="E385" s="7"/>
      <c r="F385" s="7"/>
      <c r="G385" s="7"/>
      <c r="H385" s="10" t="str">
        <f>IF(AND(E385="",F385="",G385=""),"",IF(SUM(E385:G385)&gt;100,"ERROR",IF(AND(E10="TEST",SUM(E385:G385)&lt;=100),SUM(E385:G385),IF(AND(E10="*TEST",F385="",E385&lt;=30,G385&lt;=70),SUM(E385:G385),IF(AND(E10="*TEST",F385&lt;=20,E385&lt;=20,G385&lt;=60),SUM(E385:G385),IF(AND(E10="*TEST",F385="-",E385&lt;=20,G385&lt;=60),SUM(E385:G385),"ERROR"))))))</f>
        <v/>
      </c>
      <c r="I385" s="7" t="str">
        <f>IF(H385="ERROR","ERROR",IF(H385="","",IF(AND(F10="*LAB",F385="-"),"F",IF(H385&gt;69.5,"A",IF(H385&gt;59.5,"B",IF(H385&gt;49.5,"C",IF(AND(D10="*PROGRAM",H385&lt;49.5),"F",IF(H385&gt;44.5,"D",IF(H385&gt;39.5,"E","F")))))))))</f>
        <v/>
      </c>
      <c r="J385" s="7" t="str">
        <f t="shared" si="18"/>
        <v/>
      </c>
      <c r="K385" s="1"/>
    </row>
    <row r="386" ht="15.75" customHeight="1" spans="1:11">
      <c r="A386" s="7">
        <v>264</v>
      </c>
      <c r="B386" s="43"/>
      <c r="C386" s="7"/>
      <c r="D386" s="7" t="str">
        <f>IF(D11="","",IF(H386="","",D11))</f>
        <v/>
      </c>
      <c r="E386" s="7"/>
      <c r="F386" s="7"/>
      <c r="G386" s="7"/>
      <c r="H386" s="10" t="str">
        <f>IF(AND(E386="",F386="",G386=""),"",IF(SUM(E386:G386)&gt;100,"ERROR",IF(AND(E10="TEST",SUM(E386:G386)&lt;=100),SUM(E386:G386),IF(AND(E10="*TEST",F386="",E386&lt;=30,G386&lt;=70),SUM(E386:G386),IF(AND(E10="*TEST",F386&lt;=20,E386&lt;=20,G386&lt;=60),SUM(E386:G386),IF(AND(E10="*TEST",F386="-",E386&lt;=20,G386&lt;=60),SUM(E386:G386),"ERROR"))))))</f>
        <v/>
      </c>
      <c r="I386" s="7" t="str">
        <f>IF(H386="ERROR","ERROR",IF(H386="","",IF(AND(F10="*LAB",F386="-"),"F",IF(H386&gt;69.5,"A",IF(H386&gt;59.5,"B",IF(H386&gt;49.5,"C",IF(AND(D10="*PROGRAM",H386&lt;49.5),"F",IF(H386&gt;44.5,"D",IF(H386&gt;39.5,"E","F")))))))))</f>
        <v/>
      </c>
      <c r="J386" s="7" t="str">
        <f t="shared" si="18"/>
        <v/>
      </c>
      <c r="K386" s="1"/>
    </row>
    <row r="387" ht="15.75" customHeight="1" spans="1:11">
      <c r="A387" s="7">
        <v>265</v>
      </c>
      <c r="B387" s="43"/>
      <c r="C387" s="7"/>
      <c r="D387" s="7" t="str">
        <f>IF(D11="","",IF(H387="","",D11))</f>
        <v/>
      </c>
      <c r="E387" s="7"/>
      <c r="F387" s="7"/>
      <c r="G387" s="7"/>
      <c r="H387" s="10" t="str">
        <f>IF(AND(E387="",F387="",G387=""),"",IF(SUM(E387:G387)&gt;100,"ERROR",IF(AND(E10="TEST",SUM(E387:G387)&lt;=100),SUM(E387:G387),IF(AND(E10="*TEST",F387="",E387&lt;=30,G387&lt;=70),SUM(E387:G387),IF(AND(E10="*TEST",F387&lt;=20,E387&lt;=20,G387&lt;=60),SUM(E387:G387),IF(AND(E10="*TEST",F387="-",E387&lt;=20,G387&lt;=60),SUM(E387:G387),"ERROR"))))))</f>
        <v/>
      </c>
      <c r="I387" s="7" t="str">
        <f>IF(H387="ERROR","ERROR",IF(H387="","",IF(AND(F10="*LAB",F387="-"),"F",IF(H387&gt;69.5,"A",IF(H387&gt;59.5,"B",IF(H387&gt;49.5,"C",IF(AND(D10="*PROGRAM",H387&lt;49.5),"F",IF(H387&gt;44.5,"D",IF(H387&gt;39.5,"E","F")))))))))</f>
        <v/>
      </c>
      <c r="J387" s="7" t="str">
        <f t="shared" si="18"/>
        <v/>
      </c>
      <c r="K387" s="1"/>
    </row>
    <row r="388" ht="15.75" customHeight="1" spans="1:11">
      <c r="A388" s="7">
        <v>266</v>
      </c>
      <c r="B388" s="43"/>
      <c r="C388" s="7"/>
      <c r="D388" s="7" t="str">
        <f>IF(D11="","",IF(H388="","",D11))</f>
        <v/>
      </c>
      <c r="E388" s="7"/>
      <c r="F388" s="7"/>
      <c r="G388" s="7"/>
      <c r="H388" s="10" t="str">
        <f>IF(AND(E388="",F388="",G388=""),"",IF(SUM(E388:G388)&gt;100,"ERROR",IF(AND(E10="TEST",SUM(E388:G388)&lt;=100),SUM(E388:G388),IF(AND(E10="*TEST",F388="",E388&lt;=30,G388&lt;=70),SUM(E388:G388),IF(AND(E10="*TEST",F388&lt;=20,E388&lt;=20,G388&lt;=60),SUM(E388:G388),IF(AND(E10="*TEST",F388="-",E388&lt;=20,G388&lt;=60),SUM(E388:G388),"ERROR"))))))</f>
        <v/>
      </c>
      <c r="I388" s="7" t="str">
        <f>IF(H388="ERROR","ERROR",IF(H388="","",IF(AND(F10="*LAB",F388="-"),"F",IF(H388&gt;69.5,"A",IF(H388&gt;59.5,"B",IF(H388&gt;49.5,"C",IF(AND(D10="*PROGRAM",H388&lt;49.5),"F",IF(H388&gt;44.5,"D",IF(H388&gt;39.5,"E","F")))))))))</f>
        <v/>
      </c>
      <c r="J388" s="7" t="str">
        <f t="shared" si="18"/>
        <v/>
      </c>
      <c r="K388" s="1"/>
    </row>
    <row r="389" ht="15.75" customHeight="1" spans="1:11">
      <c r="A389" s="7">
        <v>267</v>
      </c>
      <c r="B389" s="43"/>
      <c r="C389" s="7"/>
      <c r="D389" s="7" t="str">
        <f>IF(D11="","",IF(H389="","",D11))</f>
        <v/>
      </c>
      <c r="E389" s="7"/>
      <c r="F389" s="7"/>
      <c r="G389" s="7"/>
      <c r="H389" s="10" t="str">
        <f>IF(AND(E389="",F389="",G389=""),"",IF(SUM(E389:G389)&gt;100,"ERROR",IF(AND(E10="TEST",SUM(E389:G389)&lt;=100),SUM(E389:G389),IF(AND(E10="*TEST",F389="",E389&lt;=30,G389&lt;=70),SUM(E389:G389),IF(AND(E10="*TEST",F389&lt;=20,E389&lt;=20,G389&lt;=60),SUM(E389:G389),IF(AND(E10="*TEST",F389="-",E389&lt;=20,G389&lt;=60),SUM(E389:G389),"ERROR"))))))</f>
        <v/>
      </c>
      <c r="I389" s="7" t="str">
        <f>IF(H389="ERROR","ERROR",IF(H389="","",IF(AND(F10="*LAB",F389="-"),"F",IF(H389&gt;69.5,"A",IF(H389&gt;59.5,"B",IF(H389&gt;49.5,"C",IF(AND(D10="*PROGRAM",H389&lt;49.5),"F",IF(H389&gt;44.5,"D",IF(H389&gt;39.5,"E","F")))))))))</f>
        <v/>
      </c>
      <c r="J389" s="7" t="str">
        <f t="shared" si="18"/>
        <v/>
      </c>
      <c r="K389" s="1"/>
    </row>
    <row r="390" ht="15.75" customHeight="1" spans="1:11">
      <c r="A390" s="7">
        <v>268</v>
      </c>
      <c r="B390" s="43"/>
      <c r="C390" s="7"/>
      <c r="D390" s="7" t="str">
        <f>IF(D11="","",IF(H390="","",D11))</f>
        <v/>
      </c>
      <c r="E390" s="7"/>
      <c r="F390" s="7"/>
      <c r="G390" s="7"/>
      <c r="H390" s="10" t="str">
        <f>IF(AND(E390="",F390="",G390=""),"",IF(SUM(E390:G390)&gt;100,"ERROR",IF(AND(E10="TEST",SUM(E390:G390)&lt;=100),SUM(E390:G390),IF(AND(E10="*TEST",F390="",E390&lt;=30,G390&lt;=70),SUM(E390:G390),IF(AND(E10="*TEST",F390&lt;=20,E390&lt;=20,G390&lt;=60),SUM(E390:G390),IF(AND(E10="*TEST",F390="-",E390&lt;=20,G390&lt;=60),SUM(E390:G390),"ERROR"))))))</f>
        <v/>
      </c>
      <c r="I390" s="7" t="str">
        <f>IF(H390="ERROR","ERROR",IF(H390="","",IF(AND(F10="*LAB",F390="-"),"F",IF(H390&gt;69.5,"A",IF(H390&gt;59.5,"B",IF(H390&gt;49.5,"C",IF(AND(D10="*PROGRAM",H390&lt;49.5),"F",IF(H390&gt;44.5,"D",IF(H390&gt;39.5,"E","F")))))))))</f>
        <v/>
      </c>
      <c r="J390" s="7" t="str">
        <f t="shared" si="18"/>
        <v/>
      </c>
      <c r="K390" s="1"/>
    </row>
    <row r="391" ht="15.75" customHeight="1" spans="1:11">
      <c r="A391" s="7">
        <v>269</v>
      </c>
      <c r="B391" s="43"/>
      <c r="C391" s="7"/>
      <c r="D391" s="7" t="str">
        <f>IF(D11="","",IF(H391="","",D11))</f>
        <v/>
      </c>
      <c r="E391" s="7"/>
      <c r="F391" s="7"/>
      <c r="G391" s="7"/>
      <c r="H391" s="10" t="str">
        <f>IF(AND(E391="",F391="",G391=""),"",IF(SUM(E391:G391)&gt;100,"ERROR",IF(AND(E10="TEST",SUM(E391:G391)&lt;=100),SUM(E391:G391),IF(AND(E10="*TEST",F391="",E391&lt;=30,G391&lt;=70),SUM(E391:G391),IF(AND(E10="*TEST",F391&lt;=20,E391&lt;=20,G391&lt;=60),SUM(E391:G391),IF(AND(E10="*TEST",F391="-",E391&lt;=20,G391&lt;=60),SUM(E391:G391),"ERROR"))))))</f>
        <v/>
      </c>
      <c r="I391" s="7" t="str">
        <f>IF(H391="ERROR","ERROR",IF(H391="","",IF(AND(F10="*LAB",F391="-"),"F",IF(H391&gt;69.5,"A",IF(H391&gt;59.5,"B",IF(H391&gt;49.5,"C",IF(AND(D10="*PROGRAM",H391&lt;49.5),"F",IF(H391&gt;44.5,"D",IF(H391&gt;39.5,"E","F")))))))))</f>
        <v/>
      </c>
      <c r="J391" s="7" t="str">
        <f t="shared" si="18"/>
        <v/>
      </c>
      <c r="K391" s="1"/>
    </row>
    <row r="392" ht="15.75" customHeight="1" spans="1:11">
      <c r="A392" s="7">
        <v>270</v>
      </c>
      <c r="B392" s="43"/>
      <c r="C392" s="7"/>
      <c r="D392" s="7" t="str">
        <f>IF(D11="","",IF(H392="","",D11))</f>
        <v/>
      </c>
      <c r="E392" s="7"/>
      <c r="F392" s="7"/>
      <c r="G392" s="7"/>
      <c r="H392" s="10" t="str">
        <f>IF(AND(E392="",F392="",G392=""),"",IF(SUM(E392:G392)&gt;100,"ERROR",IF(AND(E10="TEST",SUM(E392:G392)&lt;=100),SUM(E392:G392),IF(AND(E10="*TEST",F392="",E392&lt;=30,G392&lt;=70),SUM(E392:G392),IF(AND(E10="*TEST",F392&lt;=20,E392&lt;=20,G392&lt;=60),SUM(E392:G392),IF(AND(E10="*TEST",F392="-",E392&lt;=20,G392&lt;=60),SUM(E392:G392),"ERROR"))))))</f>
        <v/>
      </c>
      <c r="I392" s="7" t="str">
        <f>IF(H392="ERROR","ERROR",IF(H392="","",IF(AND(F10="*LAB",F392="-"),"F",IF(H392&gt;69.5,"A",IF(H392&gt;59.5,"B",IF(H392&gt;49.5,"C",IF(AND(D10="*PROGRAM",H392&lt;49.5),"F",IF(H392&gt;44.5,"D",IF(H392&gt;39.5,"E","F")))))))))</f>
        <v/>
      </c>
      <c r="J392" s="7" t="str">
        <f t="shared" si="18"/>
        <v/>
      </c>
      <c r="K392" s="1"/>
    </row>
    <row r="393" ht="15.75" customHeight="1" spans="1:11">
      <c r="A393" s="7">
        <v>271</v>
      </c>
      <c r="B393" s="43"/>
      <c r="C393" s="7"/>
      <c r="D393" s="7" t="str">
        <f>IF(D11="","",IF(H393="","",D11))</f>
        <v/>
      </c>
      <c r="E393" s="7"/>
      <c r="F393" s="7"/>
      <c r="G393" s="7"/>
      <c r="H393" s="10" t="str">
        <f>IF(AND(E393="",F393="",G393=""),"",IF(SUM(E393:G393)&gt;100,"ERROR",IF(AND(E10="TEST",SUM(E393:G393)&lt;=100),SUM(E393:G393),IF(AND(E10="*TEST",F393="",E393&lt;=30,G393&lt;=70),SUM(E393:G393),IF(AND(E10="*TEST",F393&lt;=20,E393&lt;=20,G393&lt;=60),SUM(E393:G393),IF(AND(E10="*TEST",F393="-",E393&lt;=20,G393&lt;=60),SUM(E393:G393),"ERROR"))))))</f>
        <v/>
      </c>
      <c r="I393" s="7" t="str">
        <f>IF(H393="ERROR","ERROR",IF(H393="","",IF(AND(F10="*LAB",F393="-"),"F",IF(H393&gt;69.5,"A",IF(H393&gt;59.5,"B",IF(H393&gt;49.5,"C",IF(AND(D10="*PROGRAM",H393&lt;49.5),"F",IF(H393&gt;44.5,"D",IF(H393&gt;39.5,"E","F")))))))))</f>
        <v/>
      </c>
      <c r="J393" s="7" t="str">
        <f t="shared" si="18"/>
        <v/>
      </c>
      <c r="K393" s="1"/>
    </row>
    <row r="394" ht="15.75" customHeight="1" spans="1:11">
      <c r="A394" s="7">
        <v>272</v>
      </c>
      <c r="B394" s="43"/>
      <c r="C394" s="7"/>
      <c r="D394" s="7" t="str">
        <f>IF(D11="","",IF(H394="","",D11))</f>
        <v/>
      </c>
      <c r="E394" s="7"/>
      <c r="F394" s="7"/>
      <c r="G394" s="7"/>
      <c r="H394" s="10" t="str">
        <f>IF(AND(E394="",F394="",G394=""),"",IF(SUM(E394:G394)&gt;100,"ERROR",IF(AND(E10="TEST",SUM(E394:G394)&lt;=100),SUM(E394:G394),IF(AND(E10="*TEST",F394="",E394&lt;=30,G394&lt;=70),SUM(E394:G394),IF(AND(E10="*TEST",F394&lt;=20,E394&lt;=20,G394&lt;=60),SUM(E394:G394),IF(AND(E10="*TEST",F394="-",E394&lt;=20,G394&lt;=60),SUM(E394:G394),"ERROR"))))))</f>
        <v/>
      </c>
      <c r="I394" s="7" t="str">
        <f>IF(H394="ERROR","ERROR",IF(H394="","",IF(AND(F10="*LAB",F394="-"),"F",IF(H394&gt;69.5,"A",IF(H394&gt;59.5,"B",IF(H394&gt;49.5,"C",IF(AND(D10="*PROGRAM",H394&lt;49.5),"F",IF(H394&gt;44.5,"D",IF(H394&gt;39.5,"E","F")))))))))</f>
        <v/>
      </c>
      <c r="J394" s="7" t="str">
        <f t="shared" si="18"/>
        <v/>
      </c>
      <c r="K394" s="1"/>
    </row>
    <row r="395" ht="15.75" customHeight="1" spans="1:11">
      <c r="A395" s="7">
        <v>273</v>
      </c>
      <c r="B395" s="43"/>
      <c r="C395" s="7"/>
      <c r="D395" s="7" t="str">
        <f>IF(D11="","",IF(H395="","",D11))</f>
        <v/>
      </c>
      <c r="E395" s="7"/>
      <c r="F395" s="7"/>
      <c r="G395" s="7"/>
      <c r="H395" s="10" t="str">
        <f>IF(AND(E395="",F395="",G395=""),"",IF(SUM(E395:G395)&gt;100,"ERROR",IF(AND(E10="TEST",SUM(E395:G395)&lt;=100),SUM(E395:G395),IF(AND(E10="*TEST",F395="",E395&lt;=30,G395&lt;=70),SUM(E395:G395),IF(AND(E10="*TEST",F395&lt;=20,E395&lt;=20,G395&lt;=60),SUM(E395:G395),IF(AND(E10="*TEST",F395="-",E395&lt;=20,G395&lt;=60),SUM(E395:G395),"ERROR"))))))</f>
        <v/>
      </c>
      <c r="I395" s="7" t="str">
        <f>IF(H395="ERROR","ERROR",IF(H395="","",IF(AND(F10="*LAB",F395="-"),"F",IF(H395&gt;69.5,"A",IF(H395&gt;59.5,"B",IF(H395&gt;49.5,"C",IF(AND(D10="*PROGRAM",H395&lt;49.5),"F",IF(H395&gt;44.5,"D",IF(H395&gt;39.5,"E","F")))))))))</f>
        <v/>
      </c>
      <c r="J395" s="7" t="str">
        <f t="shared" si="18"/>
        <v/>
      </c>
      <c r="K395" s="1"/>
    </row>
    <row r="396" ht="15.75" customHeight="1" spans="1:11">
      <c r="A396" s="7">
        <v>274</v>
      </c>
      <c r="B396" s="43"/>
      <c r="C396" s="7"/>
      <c r="D396" s="7" t="str">
        <f>IF(D11="","",IF(H396="","",D11))</f>
        <v/>
      </c>
      <c r="E396" s="7"/>
      <c r="F396" s="7"/>
      <c r="G396" s="7"/>
      <c r="H396" s="10" t="str">
        <f>IF(AND(E396="",F396="",G396=""),"",IF(SUM(E396:G396)&gt;100,"ERROR",IF(AND(E10="TEST",SUM(E396:G396)&lt;=100),SUM(E396:G396),IF(AND(E10="*TEST",F396="",E396&lt;=30,G396&lt;=70),SUM(E396:G396),IF(AND(E10="*TEST",F396&lt;=20,E396&lt;=20,G396&lt;=60),SUM(E396:G396),IF(AND(E10="*TEST",F396="-",E396&lt;=20,G396&lt;=60),SUM(E396:G396),"ERROR"))))))</f>
        <v/>
      </c>
      <c r="I396" s="7" t="str">
        <f>IF(H396="ERROR","ERROR",IF(H396="","",IF(AND(F10="*LAB",F396="-"),"F",IF(H396&gt;69.5,"A",IF(H396&gt;59.5,"B",IF(H396&gt;49.5,"C",IF(AND(D10="*PROGRAM",H396&lt;49.5),"F",IF(H396&gt;44.5,"D",IF(H396&gt;39.5,"E","F")))))))))</f>
        <v/>
      </c>
      <c r="J396" s="7" t="str">
        <f t="shared" si="18"/>
        <v/>
      </c>
      <c r="K396" s="1"/>
    </row>
    <row r="397" ht="15.75" customHeight="1" spans="1:11">
      <c r="A397" s="7">
        <v>275</v>
      </c>
      <c r="B397" s="43"/>
      <c r="C397" s="7"/>
      <c r="D397" s="7" t="str">
        <f>IF(D11="","",IF(H397="","",D11))</f>
        <v/>
      </c>
      <c r="E397" s="7"/>
      <c r="F397" s="7"/>
      <c r="G397" s="7"/>
      <c r="H397" s="10" t="str">
        <f>IF(AND(E397="",F397="",G397=""),"",IF(SUM(E397:G397)&gt;100,"ERROR",IF(AND(E10="TEST",SUM(E397:G397)&lt;=100),SUM(E397:G397),IF(AND(E10="*TEST",F397="",E397&lt;=30,G397&lt;=70),SUM(E397:G397),IF(AND(E10="*TEST",F397&lt;=20,E397&lt;=20,G397&lt;=60),SUM(E397:G397),IF(AND(E10="*TEST",F397="-",E397&lt;=20,G397&lt;=60),SUM(E397:G397),"ERROR"))))))</f>
        <v/>
      </c>
      <c r="I397" s="7" t="str">
        <f>IF(H397="ERROR","ERROR",IF(H397="","",IF(AND(F10="*LAB",F397="-"),"F",IF(H397&gt;69.5,"A",IF(H397&gt;59.5,"B",IF(H397&gt;49.5,"C",IF(AND(D10="*PROGRAM",H397&lt;49.5),"F",IF(H397&gt;44.5,"D",IF(H397&gt;39.5,"E","F")))))))))</f>
        <v/>
      </c>
      <c r="J397" s="7" t="str">
        <f t="shared" si="18"/>
        <v/>
      </c>
      <c r="K397" s="1"/>
    </row>
    <row r="398" ht="15.75" customHeight="1" spans="1:11">
      <c r="A398" s="7">
        <v>276</v>
      </c>
      <c r="B398" s="43"/>
      <c r="C398" s="7"/>
      <c r="D398" s="7" t="str">
        <f>IF(D11="","",IF(H398="","",D11))</f>
        <v/>
      </c>
      <c r="E398" s="7"/>
      <c r="F398" s="7"/>
      <c r="G398" s="7"/>
      <c r="H398" s="10" t="str">
        <f>IF(AND(E398="",F398="",G398=""),"",IF(SUM(E398:G398)&gt;100,"ERROR",IF(AND(E10="TEST",SUM(E398:G398)&lt;=100),SUM(E398:G398),IF(AND(E10="*TEST",F398="",E398&lt;=30,G398&lt;=70),SUM(E398:G398),IF(AND(E10="*TEST",F398&lt;=20,E398&lt;=20,G398&lt;=60),SUM(E398:G398),IF(AND(E10="*TEST",F398="-",E398&lt;=20,G398&lt;=60),SUM(E398:G398),"ERROR"))))))</f>
        <v/>
      </c>
      <c r="I398" s="7" t="str">
        <f>IF(H398="ERROR","ERROR",IF(H398="","",IF(AND(F10="*LAB",F398="-"),"F",IF(H398&gt;69.5,"A",IF(H398&gt;59.5,"B",IF(H398&gt;49.5,"C",IF(AND(D10="*PROGRAM",H398&lt;49.5),"F",IF(H398&gt;44.5,"D",IF(H398&gt;39.5,"E","F")))))))))</f>
        <v/>
      </c>
      <c r="J398" s="7" t="str">
        <f t="shared" si="18"/>
        <v/>
      </c>
      <c r="K398" s="1"/>
    </row>
    <row r="399" ht="15.75" customHeight="1" spans="1:11">
      <c r="A399" s="7">
        <v>277</v>
      </c>
      <c r="B399" s="43"/>
      <c r="C399" s="7"/>
      <c r="D399" s="7" t="str">
        <f>IF(D11="","",IF(H399="","",D11))</f>
        <v/>
      </c>
      <c r="E399" s="7"/>
      <c r="F399" s="7"/>
      <c r="G399" s="7"/>
      <c r="H399" s="10" t="str">
        <f>IF(AND(E399="",F399="",G399=""),"",IF(SUM(E399:G399)&gt;100,"ERROR",IF(AND(E10="TEST",SUM(E399:G399)&lt;=100),SUM(E399:G399),IF(AND(E10="*TEST",F399="",E399&lt;=30,G399&lt;=70),SUM(E399:G399),IF(AND(E10="*TEST",F399&lt;=20,E399&lt;=20,G399&lt;=60),SUM(E399:G399),IF(AND(E10="*TEST",F399="-",E399&lt;=20,G399&lt;=60),SUM(E399:G399),"ERROR"))))))</f>
        <v/>
      </c>
      <c r="I399" s="7" t="str">
        <f>IF(H399="ERROR","ERROR",IF(H399="","",IF(AND(F10="*LAB",F399="-"),"F",IF(H399&gt;69.5,"A",IF(H399&gt;59.5,"B",IF(H399&gt;49.5,"C",IF(AND(D10="*PROGRAM",H399&lt;49.5),"F",IF(H399&gt;44.5,"D",IF(H399&gt;39.5,"E","F")))))))))</f>
        <v/>
      </c>
      <c r="J399" s="7" t="str">
        <f t="shared" si="18"/>
        <v/>
      </c>
      <c r="K399" s="1"/>
    </row>
    <row r="400" ht="15.75" customHeight="1" spans="1:11">
      <c r="A400" s="7">
        <v>278</v>
      </c>
      <c r="B400" s="43"/>
      <c r="C400" s="7"/>
      <c r="D400" s="7" t="str">
        <f>IF(D11="","",IF(H400="","",D11))</f>
        <v/>
      </c>
      <c r="E400" s="7"/>
      <c r="F400" s="7"/>
      <c r="G400" s="7"/>
      <c r="H400" s="10" t="str">
        <f>IF(AND(E400="",F400="",G400=""),"",IF(SUM(E400:G400)&gt;100,"ERROR",IF(AND(E10="TEST",SUM(E400:G400)&lt;=100),SUM(E400:G400),IF(AND(E10="*TEST",F400="",E400&lt;=30,G400&lt;=70),SUM(E400:G400),IF(AND(E10="*TEST",F400&lt;=20,E400&lt;=20,G400&lt;=60),SUM(E400:G400),IF(AND(E10="*TEST",F400="-",E400&lt;=20,G400&lt;=60),SUM(E400:G400),"ERROR"))))))</f>
        <v/>
      </c>
      <c r="I400" s="7" t="str">
        <f>IF(H400="ERROR","ERROR",IF(H400="","",IF(AND(F10="*LAB",F400="-"),"F",IF(H400&gt;69.5,"A",IF(H400&gt;59.5,"B",IF(H400&gt;49.5,"C",IF(AND(D10="*PROGRAM",H400&lt;49.5),"F",IF(H400&gt;44.5,"D",IF(H400&gt;39.5,"E","F")))))))))</f>
        <v/>
      </c>
      <c r="J400" s="7" t="str">
        <f t="shared" si="18"/>
        <v/>
      </c>
      <c r="K400" s="1"/>
    </row>
    <row r="401" ht="15.75" customHeight="1" spans="1:11">
      <c r="A401" s="7">
        <v>279</v>
      </c>
      <c r="B401" s="43"/>
      <c r="C401" s="7"/>
      <c r="D401" s="7" t="str">
        <f>IF(D11="","",IF(H401="","",D11))</f>
        <v/>
      </c>
      <c r="E401" s="7"/>
      <c r="F401" s="7"/>
      <c r="G401" s="7"/>
      <c r="H401" s="10" t="str">
        <f>IF(AND(E401="",F401="",G401=""),"",IF(SUM(E401:G401)&gt;100,"ERROR",IF(AND(E10="TEST",SUM(E401:G401)&lt;=100),SUM(E401:G401),IF(AND(E10="*TEST",F401="",E401&lt;=30,G401&lt;=70),SUM(E401:G401),IF(AND(E10="*TEST",F401&lt;=20,E401&lt;=20,G401&lt;=60),SUM(E401:G401),IF(AND(E10="*TEST",F401="-",E401&lt;=20,G401&lt;=60),SUM(E401:G401),"ERROR"))))))</f>
        <v/>
      </c>
      <c r="I401" s="7" t="str">
        <f>IF(H401="ERROR","ERROR",IF(H401="","",IF(AND(F10="*LAB",F401="-"),"F",IF(H401&gt;69.5,"A",IF(H401&gt;59.5,"B",IF(H401&gt;49.5,"C",IF(AND(D10="*PROGRAM",H401&lt;49.5),"F",IF(H401&gt;44.5,"D",IF(H401&gt;39.5,"E","F")))))))))</f>
        <v/>
      </c>
      <c r="J401" s="7" t="str">
        <f t="shared" si="18"/>
        <v/>
      </c>
      <c r="K401" s="1"/>
    </row>
    <row r="402" ht="15.75" customHeight="1" spans="1:11">
      <c r="A402" s="7">
        <v>280</v>
      </c>
      <c r="B402" s="43"/>
      <c r="C402" s="7"/>
      <c r="D402" s="7" t="str">
        <f>IF(D11="","",IF(H402="","",D11))</f>
        <v/>
      </c>
      <c r="E402" s="7"/>
      <c r="F402" s="7"/>
      <c r="G402" s="7"/>
      <c r="H402" s="10" t="str">
        <f>IF(AND(E402="",F402="",G402=""),"",IF(SUM(E402:G402)&gt;100,"ERROR",IF(AND(E10="TEST",SUM(E402:G402)&lt;=100),SUM(E402:G402),IF(AND(E10="*TEST",F402="",E402&lt;=30,G402&lt;=70),SUM(E402:G402),IF(AND(E10="*TEST",F402&lt;=20,E402&lt;=20,G402&lt;=60),SUM(E402:G402),IF(AND(E10="*TEST",F402="-",E402&lt;=20,G402&lt;=60),SUM(E402:G402),"ERROR"))))))</f>
        <v/>
      </c>
      <c r="I402" s="7" t="str">
        <f>IF(H402="ERROR","ERROR",IF(H402="","",IF(AND(F10="*LAB",F402="-"),"F",IF(H402&gt;69.5,"A",IF(H402&gt;59.5,"B",IF(H402&gt;49.5,"C",IF(AND(D10="*PROGRAM",H402&lt;49.5),"F",IF(H402&gt;44.5,"D",IF(H402&gt;39.5,"E","F")))))))))</f>
        <v/>
      </c>
      <c r="J402" s="7" t="str">
        <f t="shared" si="18"/>
        <v/>
      </c>
      <c r="K402" s="1"/>
    </row>
    <row r="403" ht="24.75" customHeight="1" spans="1:11">
      <c r="A403" s="1"/>
      <c r="B403" s="12"/>
      <c r="C403" s="1"/>
      <c r="D403" s="1"/>
      <c r="E403" s="1"/>
      <c r="F403" s="1"/>
      <c r="G403" s="13"/>
      <c r="H403" s="14"/>
      <c r="I403" s="14"/>
      <c r="J403" s="14"/>
      <c r="K403" s="1"/>
    </row>
    <row r="404" ht="15.75" customHeight="1" spans="1:11">
      <c r="A404" s="1"/>
      <c r="B404" s="15" t="s">
        <v>60</v>
      </c>
      <c r="C404" s="13"/>
      <c r="D404" s="13"/>
      <c r="E404" s="13"/>
      <c r="F404" s="13"/>
      <c r="G404" s="16" t="s">
        <v>61</v>
      </c>
      <c r="H404" s="17"/>
      <c r="I404" s="17"/>
      <c r="J404" s="17"/>
      <c r="K404" s="1"/>
    </row>
    <row r="405" ht="15.75" customHeight="1" spans="1:11">
      <c r="A405" s="1" t="str">
        <f>IF(AND(I422="",I363&lt;&gt;""),A889,"")</f>
        <v/>
      </c>
      <c r="B405" s="2" t="str">
        <f>IF(A405="","",B889)</f>
        <v/>
      </c>
      <c r="C405" s="16" t="s">
        <v>62</v>
      </c>
      <c r="D405" s="17"/>
      <c r="E405" s="17"/>
      <c r="F405" s="17"/>
      <c r="G405" s="1"/>
      <c r="H405" s="1"/>
      <c r="I405" s="1"/>
      <c r="J405" s="1"/>
      <c r="K405" s="1"/>
    </row>
    <row r="406" ht="15.75" customHeight="1" spans="1:11">
      <c r="A406" s="1" t="str">
        <f>IF(A405="","",A890)</f>
        <v/>
      </c>
      <c r="B406" s="2" t="str">
        <f>IF(A405="","",B890)</f>
        <v/>
      </c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 spans="1:11">
      <c r="A407" s="1" t="str">
        <f>IF(A405="","",A891)</f>
        <v/>
      </c>
      <c r="B407" s="2" t="str">
        <f>IF(A405="","",B891)</f>
        <v/>
      </c>
      <c r="C407" s="18" t="s">
        <v>63</v>
      </c>
      <c r="D407" s="17"/>
      <c r="E407" s="17"/>
      <c r="F407" s="17"/>
      <c r="G407" s="17"/>
      <c r="H407" s="17"/>
      <c r="I407" s="17"/>
      <c r="J407" s="24"/>
      <c r="K407" s="1"/>
    </row>
    <row r="408" ht="15.75" customHeight="1" spans="1:11">
      <c r="A408" s="1" t="str">
        <f>IF(A405="","",A892)</f>
        <v/>
      </c>
      <c r="B408" s="2" t="str">
        <f>IF(A405="","",B892)</f>
        <v/>
      </c>
      <c r="C408" s="19" t="s">
        <v>64</v>
      </c>
      <c r="F408" s="15"/>
      <c r="G408" s="15" t="s">
        <v>65</v>
      </c>
      <c r="J408" s="25"/>
      <c r="K408" s="1"/>
    </row>
    <row r="409" ht="15.75" customHeight="1" spans="1:11">
      <c r="A409" s="1" t="str">
        <f>IF(A405="","",A893)</f>
        <v/>
      </c>
      <c r="B409" s="2" t="str">
        <f>IF(A405="","",B893)</f>
        <v/>
      </c>
      <c r="C409" s="19" t="s">
        <v>66</v>
      </c>
      <c r="F409" s="15"/>
      <c r="G409" s="15" t="s">
        <v>67</v>
      </c>
      <c r="J409" s="25"/>
      <c r="K409" s="1"/>
    </row>
    <row r="410" ht="15.75" customHeight="1" spans="1:11">
      <c r="A410" s="1" t="str">
        <f>IF(A405="","",A894)</f>
        <v/>
      </c>
      <c r="B410" s="2" t="str">
        <f>IF(A405="","",B894)</f>
        <v/>
      </c>
      <c r="C410" s="20" t="s">
        <v>68</v>
      </c>
      <c r="D410" s="14"/>
      <c r="E410" s="14"/>
      <c r="F410" s="21"/>
      <c r="G410" s="21" t="s">
        <v>69</v>
      </c>
      <c r="H410" s="14"/>
      <c r="I410" s="14"/>
      <c r="J410" s="26"/>
      <c r="K410" s="1"/>
    </row>
    <row r="411" ht="15.75" customHeight="1" spans="1:11">
      <c r="A411" s="1" t="str">
        <f>IF(A405="","",A895)</f>
        <v/>
      </c>
      <c r="B411" s="22" t="str">
        <f>IF(A405="","",B895)</f>
        <v/>
      </c>
      <c r="C411" s="1"/>
      <c r="D411" s="1"/>
      <c r="E411" s="1"/>
      <c r="F411" s="1"/>
      <c r="G411" s="1"/>
      <c r="H411" s="1"/>
      <c r="I411" s="1"/>
      <c r="J411" s="27" t="s">
        <v>179</v>
      </c>
      <c r="K411" s="1"/>
    </row>
    <row r="412" ht="15.75" customHeight="1" spans="1:11">
      <c r="A412" s="23"/>
      <c r="B412" s="23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 spans="1:11">
      <c r="A413" s="1"/>
      <c r="B413" s="3" t="s">
        <v>0</v>
      </c>
      <c r="K413" s="1"/>
    </row>
    <row r="414" ht="15.75" customHeight="1" spans="1:11">
      <c r="A414" s="1"/>
      <c r="B414" s="4" t="s">
        <v>1</v>
      </c>
      <c r="K414" s="1"/>
    </row>
    <row r="415" ht="15.75" customHeight="1" spans="1:1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 spans="1:11">
      <c r="A416" s="2" t="str">
        <f t="shared" ref="A416:A419" si="19">A5</f>
        <v>School of Student: SEET</v>
      </c>
      <c r="D416" s="1"/>
      <c r="E416" s="5">
        <f t="shared" ref="E416:E419" si="20">E5</f>
        <v>0</v>
      </c>
      <c r="K416" s="1"/>
    </row>
    <row r="417" ht="15.75" customHeight="1" spans="1:11">
      <c r="A417" s="2" t="str">
        <f t="shared" si="19"/>
        <v>Department: BIOMEDICAL ENGINEERING</v>
      </c>
      <c r="D417" s="1"/>
      <c r="E417" s="5" t="str">
        <f t="shared" si="20"/>
        <v>Session: ---------------------------------</v>
      </c>
      <c r="K417" s="1"/>
    </row>
    <row r="418" ht="15.75" customHeight="1" spans="1:11">
      <c r="A418" s="2" t="str">
        <f t="shared" si="19"/>
        <v>Title of Course: ------------------------</v>
      </c>
      <c r="D418" s="1"/>
      <c r="E418" s="5" t="str">
        <f t="shared" si="20"/>
        <v>Course Code: -------------------------</v>
      </c>
      <c r="K418" s="1"/>
    </row>
    <row r="419" ht="15.75" customHeight="1" spans="1:11">
      <c r="A419" s="2" t="str">
        <f t="shared" si="19"/>
        <v>School Offering Course: ----------------------------</v>
      </c>
      <c r="D419" s="1"/>
      <c r="E419" s="5" t="str">
        <f t="shared" si="20"/>
        <v>Date: -----------------------------</v>
      </c>
      <c r="K419" s="1"/>
    </row>
    <row r="420" ht="15.75" customHeight="1" spans="1:11">
      <c r="A420" s="1"/>
      <c r="B420" s="2"/>
      <c r="C420" s="1"/>
      <c r="D420" s="5"/>
      <c r="E420" s="5"/>
      <c r="F420" s="5"/>
      <c r="G420" s="5"/>
      <c r="H420" s="5"/>
      <c r="I420" s="5"/>
      <c r="J420" s="5"/>
      <c r="K420" s="1"/>
    </row>
    <row r="421" ht="15.75" customHeight="1" spans="1:11">
      <c r="A421" s="6" t="s">
        <v>9</v>
      </c>
      <c r="B421" s="6" t="s">
        <v>10</v>
      </c>
      <c r="C421" s="6" t="s">
        <v>11</v>
      </c>
      <c r="D421" s="6" t="s">
        <v>12</v>
      </c>
      <c r="E421" s="6" t="s">
        <v>13</v>
      </c>
      <c r="F421" s="6" t="s">
        <v>14</v>
      </c>
      <c r="G421" s="6" t="s">
        <v>15</v>
      </c>
      <c r="H421" s="6" t="s">
        <v>16</v>
      </c>
      <c r="I421" s="6" t="s">
        <v>17</v>
      </c>
      <c r="J421" s="6" t="s">
        <v>18</v>
      </c>
      <c r="K421" s="1"/>
    </row>
    <row r="422" ht="15.75" customHeight="1" spans="1:11">
      <c r="A422" s="7">
        <v>281</v>
      </c>
      <c r="B422" s="43"/>
      <c r="C422" s="7"/>
      <c r="D422" s="7" t="str">
        <f>IF(D11="","",IF(H422="","",D11))</f>
        <v/>
      </c>
      <c r="E422" s="7"/>
      <c r="F422" s="7"/>
      <c r="G422" s="7"/>
      <c r="H422" s="10" t="str">
        <f>IF(AND(E422="",F422="",G422=""),"",IF(SUM(E422:G422)&gt;100,"ERROR",IF(AND(E10="TEST",SUM(E422:G422)&lt;=100),SUM(E422:G422),IF(AND(E10="*TEST",F422="",E422&lt;=30,G422&lt;=70),SUM(E422:G422),IF(AND(E10="*TEST",F422&lt;=20,E422&lt;=20,G422&lt;=60),SUM(E422:G422),IF(AND(E10="*TEST",F422="-",E422&lt;=20,G422&lt;=60),SUM(E422:G422),"ERROR"))))))</f>
        <v/>
      </c>
      <c r="I422" s="7" t="str">
        <f>IF(H422="ERROR","ERROR",IF(H422="","",IF(AND(F10="*LAB",F422="-"),"F",IF(H422&gt;69.5,"A",IF(H422&gt;59.5,"B",IF(H422&gt;49.5,"C",IF(AND(D10="*PROGRAM",H422&lt;49.5),"F",IF(H422&gt;44.5,"D",IF(H422&gt;39.5,"E","F")))))))))</f>
        <v/>
      </c>
      <c r="J422" s="7" t="str">
        <f t="shared" ref="J422:J461" si="21">IF(H422="ERROR","ERROR",IF(I422="","",IF(I422="F","FAIL","PASS")))</f>
        <v/>
      </c>
      <c r="K422" s="1"/>
    </row>
    <row r="423" ht="15.75" customHeight="1" spans="1:11">
      <c r="A423" s="7">
        <v>282</v>
      </c>
      <c r="B423" s="43"/>
      <c r="C423" s="7"/>
      <c r="D423" s="7" t="str">
        <f>IF(D11="","",IF(H423="","",D11))</f>
        <v/>
      </c>
      <c r="E423" s="7"/>
      <c r="F423" s="7"/>
      <c r="G423" s="7"/>
      <c r="H423" s="10" t="str">
        <f>IF(AND(E423="",F423="",G423=""),"",IF(SUM(E423:G423)&gt;100,"ERROR",IF(AND(E10="TEST",SUM(E423:G423)&lt;=100),SUM(E423:G423),IF(AND(E10="*TEST",F423="",E423&lt;=30,G423&lt;=70),SUM(E423:G423),IF(AND(E10="*TEST",F423&lt;=20,E423&lt;=20,G423&lt;=60),SUM(E423:G423),IF(AND(E10="*TEST",F423="-",E423&lt;=20,G423&lt;=60),SUM(E423:G423),"ERROR"))))))</f>
        <v/>
      </c>
      <c r="I423" s="7" t="str">
        <f>IF(H423="ERROR","ERROR",IF(H423="","",IF(AND(F10="*LAB",F423="-"),"F",IF(H423&gt;69.5,"A",IF(H423&gt;59.5,"B",IF(H423&gt;49.5,"C",IF(AND(D10="*PROGRAM",H423&lt;49.5),"F",IF(H423&gt;44.5,"D",IF(H423&gt;39.5,"E","F")))))))))</f>
        <v/>
      </c>
      <c r="J423" s="7" t="str">
        <f t="shared" si="21"/>
        <v/>
      </c>
      <c r="K423" s="1"/>
    </row>
    <row r="424" ht="15.75" customHeight="1" spans="1:11">
      <c r="A424" s="7">
        <v>283</v>
      </c>
      <c r="B424" s="43"/>
      <c r="C424" s="7"/>
      <c r="D424" s="7" t="str">
        <f>IF(D11="","",IF(H424="","",D11))</f>
        <v/>
      </c>
      <c r="E424" s="7"/>
      <c r="F424" s="7"/>
      <c r="G424" s="7"/>
      <c r="H424" s="10" t="str">
        <f>IF(AND(E424="",F424="",G424=""),"",IF(SUM(E424:G424)&gt;100,"ERROR",IF(AND(E10="TEST",SUM(E424:G424)&lt;=100),SUM(E424:G424),IF(AND(E10="*TEST",F424="",E424&lt;=30,G424&lt;=70),SUM(E424:G424),IF(AND(E10="*TEST",F424&lt;=20,E424&lt;=20,G424&lt;=60),SUM(E424:G424),IF(AND(E10="*TEST",F424="-",E424&lt;=20,G424&lt;=60),SUM(E424:G424),"ERROR"))))))</f>
        <v/>
      </c>
      <c r="I424" s="7" t="str">
        <f>IF(H424="ERROR","ERROR",IF(H424="","",IF(AND(F10="*LAB",F424="-"),"F",IF(H424&gt;69.5,"A",IF(H424&gt;59.5,"B",IF(H424&gt;49.5,"C",IF(AND(D10="*PROGRAM",H424&lt;49.5),"F",IF(H424&gt;44.5,"D",IF(H424&gt;39.5,"E","F")))))))))</f>
        <v/>
      </c>
      <c r="J424" s="7" t="str">
        <f t="shared" si="21"/>
        <v/>
      </c>
      <c r="K424" s="1"/>
    </row>
    <row r="425" ht="15.75" customHeight="1" spans="1:11">
      <c r="A425" s="7">
        <v>284</v>
      </c>
      <c r="B425" s="43"/>
      <c r="C425" s="7"/>
      <c r="D425" s="7" t="str">
        <f>IF(D11="","",IF(H425="","",D11))</f>
        <v/>
      </c>
      <c r="E425" s="7"/>
      <c r="F425" s="7"/>
      <c r="G425" s="7"/>
      <c r="H425" s="10" t="str">
        <f>IF(AND(E425="",F425="",G425=""),"",IF(SUM(E425:G425)&gt;100,"ERROR",IF(AND(E10="TEST",SUM(E425:G425)&lt;=100),SUM(E425:G425),IF(AND(E10="*TEST",F425="",E425&lt;=30,G425&lt;=70),SUM(E425:G425),IF(AND(E10="*TEST",F425&lt;=20,E425&lt;=20,G425&lt;=60),SUM(E425:G425),IF(AND(E10="*TEST",F425="-",E425&lt;=20,G425&lt;=60),SUM(E425:G425),"ERROR"))))))</f>
        <v/>
      </c>
      <c r="I425" s="7" t="str">
        <f>IF(H425="ERROR","ERROR",IF(H425="","",IF(AND(F10="*LAB",F425="-"),"F",IF(H425&gt;69.5,"A",IF(H425&gt;59.5,"B",IF(H425&gt;49.5,"C",IF(AND(D10="*PROGRAM",H425&lt;49.5),"F",IF(H425&gt;44.5,"D",IF(H425&gt;39.5,"E","F")))))))))</f>
        <v/>
      </c>
      <c r="J425" s="7" t="str">
        <f t="shared" si="21"/>
        <v/>
      </c>
      <c r="K425" s="1"/>
    </row>
    <row r="426" ht="15.75" customHeight="1" spans="1:11">
      <c r="A426" s="7">
        <v>285</v>
      </c>
      <c r="B426" s="43"/>
      <c r="C426" s="7"/>
      <c r="D426" s="7" t="str">
        <f>IF(D11="","",IF(H426="","",D11))</f>
        <v/>
      </c>
      <c r="E426" s="7"/>
      <c r="F426" s="7"/>
      <c r="G426" s="7"/>
      <c r="H426" s="10" t="str">
        <f>IF(AND(E426="",F426="",G426=""),"",IF(SUM(E426:G426)&gt;100,"ERROR",IF(AND(E10="TEST",SUM(E426:G426)&lt;=100),SUM(E426:G426),IF(AND(E10="*TEST",F426="",E426&lt;=30,G426&lt;=70),SUM(E426:G426),IF(AND(E10="*TEST",F426&lt;=20,E426&lt;=20,G426&lt;=60),SUM(E426:G426),IF(AND(E10="*TEST",F426="-",E426&lt;=20,G426&lt;=60),SUM(E426:G426),"ERROR"))))))</f>
        <v/>
      </c>
      <c r="I426" s="7" t="str">
        <f>IF(H426="ERROR","ERROR",IF(H426="","",IF(AND(F10="*LAB",F426="-"),"F",IF(H426&gt;69.5,"A",IF(H426&gt;59.5,"B",IF(H426&gt;49.5,"C",IF(AND(D10="*PROGRAM",H426&lt;49.5),"F",IF(H426&gt;44.5,"D",IF(H426&gt;39.5,"E","F")))))))))</f>
        <v/>
      </c>
      <c r="J426" s="7" t="str">
        <f t="shared" si="21"/>
        <v/>
      </c>
      <c r="K426" s="1"/>
    </row>
    <row r="427" ht="15.75" customHeight="1" spans="1:11">
      <c r="A427" s="7">
        <v>286</v>
      </c>
      <c r="B427" s="43"/>
      <c r="C427" s="7"/>
      <c r="D427" s="7" t="str">
        <f>IF(D11="","",IF(H427="","",D11))</f>
        <v/>
      </c>
      <c r="E427" s="7"/>
      <c r="F427" s="7"/>
      <c r="G427" s="7"/>
      <c r="H427" s="10" t="str">
        <f>IF(AND(E427="",F427="",G427=""),"",IF(SUM(E427:G427)&gt;100,"ERROR",IF(AND(E10="TEST",SUM(E427:G427)&lt;=100),SUM(E427:G427),IF(AND(E10="*TEST",F427="",E427&lt;=30,G427&lt;=70),SUM(E427:G427),IF(AND(E10="*TEST",F427&lt;=20,E427&lt;=20,G427&lt;=60),SUM(E427:G427),IF(AND(E10="*TEST",F427="-",E427&lt;=20,G427&lt;=60),SUM(E427:G427),"ERROR"))))))</f>
        <v/>
      </c>
      <c r="I427" s="7" t="str">
        <f>IF(H427="ERROR","ERROR",IF(H427="","",IF(AND(F10="*LAB",F427="-"),"F",IF(H427&gt;69.5,"A",IF(H427&gt;59.5,"B",IF(H427&gt;49.5,"C",IF(AND(D10="*PROGRAM",H427&lt;49.5),"F",IF(H427&gt;44.5,"D",IF(H427&gt;39.5,"E","F")))))))))</f>
        <v/>
      </c>
      <c r="J427" s="7" t="str">
        <f t="shared" si="21"/>
        <v/>
      </c>
      <c r="K427" s="1"/>
    </row>
    <row r="428" ht="15.75" customHeight="1" spans="1:11">
      <c r="A428" s="7">
        <v>287</v>
      </c>
      <c r="B428" s="43"/>
      <c r="C428" s="7"/>
      <c r="D428" s="7" t="str">
        <f>IF(D11="","",IF(H428="","",D11))</f>
        <v/>
      </c>
      <c r="E428" s="7"/>
      <c r="F428" s="7"/>
      <c r="G428" s="7"/>
      <c r="H428" s="10" t="str">
        <f>IF(AND(E428="",F428="",G428=""),"",IF(SUM(E428:G428)&gt;100,"ERROR",IF(AND(E10="TEST",SUM(E428:G428)&lt;=100),SUM(E428:G428),IF(AND(E10="*TEST",F428="",E428&lt;=30,G428&lt;=70),SUM(E428:G428),IF(AND(E10="*TEST",F428&lt;=20,E428&lt;=20,G428&lt;=60),SUM(E428:G428),IF(AND(E10="*TEST",F428="-",E428&lt;=20,G428&lt;=60),SUM(E428:G428),"ERROR"))))))</f>
        <v/>
      </c>
      <c r="I428" s="7" t="str">
        <f>IF(H428="ERROR","ERROR",IF(H428="","",IF(AND(F10="*LAB",F428="-"),"F",IF(H428&gt;69.5,"A",IF(H428&gt;59.5,"B",IF(H428&gt;49.5,"C",IF(AND(D10="*PROGRAM",H428&lt;49.5),"F",IF(H428&gt;44.5,"D",IF(H428&gt;39.5,"E","F")))))))))</f>
        <v/>
      </c>
      <c r="J428" s="7" t="str">
        <f t="shared" si="21"/>
        <v/>
      </c>
      <c r="K428" s="1"/>
    </row>
    <row r="429" ht="15.75" customHeight="1" spans="1:11">
      <c r="A429" s="7">
        <v>288</v>
      </c>
      <c r="B429" s="43"/>
      <c r="C429" s="7"/>
      <c r="D429" s="7" t="str">
        <f>IF(D11="","",IF(H429="","",D11))</f>
        <v/>
      </c>
      <c r="E429" s="7"/>
      <c r="F429" s="7"/>
      <c r="G429" s="7"/>
      <c r="H429" s="10" t="str">
        <f>IF(AND(E429="",F429="",G429=""),"",IF(SUM(E429:G429)&gt;100,"ERROR",IF(AND(E10="TEST",SUM(E429:G429)&lt;=100),SUM(E429:G429),IF(AND(E10="*TEST",F429="",E429&lt;=30,G429&lt;=70),SUM(E429:G429),IF(AND(E10="*TEST",F429&lt;=20,E429&lt;=20,G429&lt;=60),SUM(E429:G429),IF(AND(E10="*TEST",F429="-",E429&lt;=20,G429&lt;=60),SUM(E429:G429),"ERROR"))))))</f>
        <v/>
      </c>
      <c r="I429" s="7" t="str">
        <f>IF(H429="ERROR","ERROR",IF(H429="","",IF(AND(F10="*LAB",F429="-"),"F",IF(H429&gt;69.5,"A",IF(H429&gt;59.5,"B",IF(H429&gt;49.5,"C",IF(AND(D10="*PROGRAM",H429&lt;49.5),"F",IF(H429&gt;44.5,"D",IF(H429&gt;39.5,"E","F")))))))))</f>
        <v/>
      </c>
      <c r="J429" s="7" t="str">
        <f t="shared" si="21"/>
        <v/>
      </c>
      <c r="K429" s="1"/>
    </row>
    <row r="430" ht="15.75" customHeight="1" spans="1:11">
      <c r="A430" s="7">
        <v>289</v>
      </c>
      <c r="B430" s="43"/>
      <c r="C430" s="7"/>
      <c r="D430" s="7" t="str">
        <f>IF(D11="","",IF(H430="","",D11))</f>
        <v/>
      </c>
      <c r="E430" s="7"/>
      <c r="F430" s="7"/>
      <c r="G430" s="7"/>
      <c r="H430" s="10" t="str">
        <f>IF(AND(E430="",F430="",G430=""),"",IF(SUM(E430:G430)&gt;100,"ERROR",IF(AND(E10="TEST",SUM(E430:G430)&lt;=100),SUM(E430:G430),IF(AND(E10="*TEST",F430="",E430&lt;=30,G430&lt;=70),SUM(E430:G430),IF(AND(E10="*TEST",F430&lt;=20,E430&lt;=20,G430&lt;=60),SUM(E430:G430),IF(AND(E10="*TEST",F430="-",E430&lt;=20,G430&lt;=60),SUM(E430:G430),"ERROR"))))))</f>
        <v/>
      </c>
      <c r="I430" s="7" t="str">
        <f>IF(H430="ERROR","ERROR",IF(H430="","",IF(AND(F10="*LAB",F430="-"),"F",IF(H430&gt;69.5,"A",IF(H430&gt;59.5,"B",IF(H430&gt;49.5,"C",IF(AND(D10="*PROGRAM",H430&lt;49.5),"F",IF(H430&gt;44.5,"D",IF(H430&gt;39.5,"E","F")))))))))</f>
        <v/>
      </c>
      <c r="J430" s="7" t="str">
        <f t="shared" si="21"/>
        <v/>
      </c>
      <c r="K430" s="1"/>
    </row>
    <row r="431" ht="15.75" customHeight="1" spans="1:11">
      <c r="A431" s="7">
        <v>290</v>
      </c>
      <c r="B431" s="43"/>
      <c r="C431" s="7"/>
      <c r="D431" s="7" t="str">
        <f>IF(D11="","",IF(H431="","",D11))</f>
        <v/>
      </c>
      <c r="E431" s="7"/>
      <c r="F431" s="7"/>
      <c r="G431" s="7"/>
      <c r="H431" s="10" t="str">
        <f>IF(AND(E431="",F431="",G431=""),"",IF(SUM(E431:G431)&gt;100,"ERROR",IF(AND(E10="TEST",SUM(E431:G431)&lt;=100),SUM(E431:G431),IF(AND(E10="*TEST",F431="",E431&lt;=30,G431&lt;=70),SUM(E431:G431),IF(AND(E10="*TEST",F431&lt;=20,E431&lt;=20,G431&lt;=60),SUM(E431:G431),IF(AND(E10="*TEST",F431="-",E431&lt;=20,G431&lt;=60),SUM(E431:G431),"ERROR"))))))</f>
        <v/>
      </c>
      <c r="I431" s="7" t="str">
        <f>IF(H431="ERROR","ERROR",IF(H431="","",IF(AND(F10="*LAB",F431="-"),"F",IF(H431&gt;69.5,"A",IF(H431&gt;59.5,"B",IF(H431&gt;49.5,"C",IF(AND(D10="*PROGRAM",H431&lt;49.5),"F",IF(H431&gt;44.5,"D",IF(H431&gt;39.5,"E","F")))))))))</f>
        <v/>
      </c>
      <c r="J431" s="7" t="str">
        <f t="shared" si="21"/>
        <v/>
      </c>
      <c r="K431" s="1"/>
    </row>
    <row r="432" ht="15.75" customHeight="1" spans="1:11">
      <c r="A432" s="7">
        <v>291</v>
      </c>
      <c r="B432" s="43"/>
      <c r="C432" s="7"/>
      <c r="D432" s="7" t="str">
        <f>IF(D11="","",IF(H432="","",D11))</f>
        <v/>
      </c>
      <c r="E432" s="7"/>
      <c r="F432" s="7"/>
      <c r="G432" s="7"/>
      <c r="H432" s="10" t="str">
        <f>IF(AND(E432="",F432="",G432=""),"",IF(SUM(E432:G432)&gt;100,"ERROR",IF(AND(E10="TEST",SUM(E432:G432)&lt;=100),SUM(E432:G432),IF(AND(E10="*TEST",F432="",E432&lt;=30,G432&lt;=70),SUM(E432:G432),IF(AND(E10="*TEST",F432&lt;=20,E432&lt;=20,G432&lt;=60),SUM(E432:G432),IF(AND(E10="*TEST",F432="-",E432&lt;=20,G432&lt;=60),SUM(E432:G432),"ERROR"))))))</f>
        <v/>
      </c>
      <c r="I432" s="7" t="str">
        <f>IF(H432="ERROR","ERROR",IF(H432="","",IF(AND(F10="*LAB",F432="-"),"F",IF(H432&gt;69.5,"A",IF(H432&gt;59.5,"B",IF(H432&gt;49.5,"C",IF(AND(D10="*PROGRAM",H432&lt;49.5),"F",IF(H432&gt;44.5,"D",IF(H432&gt;39.5,"E","F")))))))))</f>
        <v/>
      </c>
      <c r="J432" s="7" t="str">
        <f t="shared" si="21"/>
        <v/>
      </c>
      <c r="K432" s="1"/>
    </row>
    <row r="433" ht="15.75" customHeight="1" spans="1:11">
      <c r="A433" s="7">
        <v>292</v>
      </c>
      <c r="B433" s="43"/>
      <c r="C433" s="7"/>
      <c r="D433" s="7" t="str">
        <f>IF(D11="","",IF(H433="","",D11))</f>
        <v/>
      </c>
      <c r="E433" s="7"/>
      <c r="F433" s="7"/>
      <c r="G433" s="7"/>
      <c r="H433" s="10" t="str">
        <f>IF(AND(E433="",F433="",G433=""),"",IF(SUM(E433:G433)&gt;100,"ERROR",IF(AND(E10="TEST",SUM(E433:G433)&lt;=100),SUM(E433:G433),IF(AND(E10="*TEST",F433="",E433&lt;=30,G433&lt;=70),SUM(E433:G433),IF(AND(E10="*TEST",F433&lt;=20,E433&lt;=20,G433&lt;=60),SUM(E433:G433),IF(AND(E10="*TEST",F433="-",E433&lt;=20,G433&lt;=60),SUM(E433:G433),"ERROR"))))))</f>
        <v/>
      </c>
      <c r="I433" s="7" t="str">
        <f>IF(H433="ERROR","ERROR",IF(H433="","",IF(AND(F10="*LAB",F433="-"),"F",IF(H433&gt;69.5,"A",IF(H433&gt;59.5,"B",IF(H433&gt;49.5,"C",IF(AND(D10="*PROGRAM",H433&lt;49.5),"F",IF(H433&gt;44.5,"D",IF(H433&gt;39.5,"E","F")))))))))</f>
        <v/>
      </c>
      <c r="J433" s="7" t="str">
        <f t="shared" si="21"/>
        <v/>
      </c>
      <c r="K433" s="1"/>
    </row>
    <row r="434" ht="15.75" customHeight="1" spans="1:11">
      <c r="A434" s="7">
        <v>293</v>
      </c>
      <c r="B434" s="43"/>
      <c r="C434" s="7"/>
      <c r="D434" s="7" t="str">
        <f>IF(D11="","",IF(H434="","",D11))</f>
        <v/>
      </c>
      <c r="E434" s="7"/>
      <c r="F434" s="7"/>
      <c r="G434" s="7"/>
      <c r="H434" s="10" t="str">
        <f>IF(AND(E434="",F434="",G434=""),"",IF(SUM(E434:G434)&gt;100,"ERROR",IF(AND(E10="TEST",SUM(E434:G434)&lt;=100),SUM(E434:G434),IF(AND(E10="*TEST",F434="",E434&lt;=30,G434&lt;=70),SUM(E434:G434),IF(AND(E10="*TEST",F434&lt;=20,E434&lt;=20,G434&lt;=60),SUM(E434:G434),IF(AND(E10="*TEST",F434="-",E434&lt;=20,G434&lt;=60),SUM(E434:G434),"ERROR"))))))</f>
        <v/>
      </c>
      <c r="I434" s="7" t="str">
        <f>IF(H434="ERROR","ERROR",IF(H434="","",IF(AND(F10="*LAB",F434="-"),"F",IF(H434&gt;69.5,"A",IF(H434&gt;59.5,"B",IF(H434&gt;49.5,"C",IF(AND(D10="*PROGRAM",H434&lt;49.5),"F",IF(H434&gt;44.5,"D",IF(H434&gt;39.5,"E","F")))))))))</f>
        <v/>
      </c>
      <c r="J434" s="7" t="str">
        <f t="shared" si="21"/>
        <v/>
      </c>
      <c r="K434" s="1"/>
    </row>
    <row r="435" ht="15.75" customHeight="1" spans="1:11">
      <c r="A435" s="7">
        <v>294</v>
      </c>
      <c r="B435" s="43"/>
      <c r="C435" s="7"/>
      <c r="D435" s="7" t="str">
        <f>IF(D11="","",IF(H435="","",D11))</f>
        <v/>
      </c>
      <c r="E435" s="7"/>
      <c r="F435" s="7"/>
      <c r="G435" s="7"/>
      <c r="H435" s="10" t="str">
        <f>IF(AND(E435="",F435="",G435=""),"",IF(SUM(E435:G435)&gt;100,"ERROR",IF(AND(E10="TEST",SUM(E435:G435)&lt;=100),SUM(E435:G435),IF(AND(E10="*TEST",F435="",E435&lt;=30,G435&lt;=70),SUM(E435:G435),IF(AND(E10="*TEST",F435&lt;=20,E435&lt;=20,G435&lt;=60),SUM(E435:G435),IF(AND(E10="*TEST",F435="-",E435&lt;=20,G435&lt;=60),SUM(E435:G435),"ERROR"))))))</f>
        <v/>
      </c>
      <c r="I435" s="7" t="str">
        <f>IF(H435="ERROR","ERROR",IF(H435="","",IF(AND(F10="*LAB",F435="-"),"F",IF(H435&gt;69.5,"A",IF(H435&gt;59.5,"B",IF(H435&gt;49.5,"C",IF(AND(D10="*PROGRAM",H435&lt;49.5),"F",IF(H435&gt;44.5,"D",IF(H435&gt;39.5,"E","F")))))))))</f>
        <v/>
      </c>
      <c r="J435" s="7" t="str">
        <f t="shared" si="21"/>
        <v/>
      </c>
      <c r="K435" s="1"/>
    </row>
    <row r="436" ht="15.75" customHeight="1" spans="1:11">
      <c r="A436" s="7">
        <v>295</v>
      </c>
      <c r="B436" s="43"/>
      <c r="C436" s="7"/>
      <c r="D436" s="7" t="str">
        <f>IF(D11="","",IF(H436="","",D11))</f>
        <v/>
      </c>
      <c r="E436" s="7"/>
      <c r="F436" s="7"/>
      <c r="G436" s="7"/>
      <c r="H436" s="10" t="str">
        <f>IF(AND(E436="",F436="",G436=""),"",IF(SUM(E436:G436)&gt;100,"ERROR",IF(AND(E10="TEST",SUM(E436:G436)&lt;=100),SUM(E436:G436),IF(AND(E10="*TEST",F436="",E436&lt;=30,G436&lt;=70),SUM(E436:G436),IF(AND(E10="*TEST",F436&lt;=20,E436&lt;=20,G436&lt;=60),SUM(E436:G436),IF(AND(E10="*TEST",F436="-",E436&lt;=20,G436&lt;=60),SUM(E436:G436),"ERROR"))))))</f>
        <v/>
      </c>
      <c r="I436" s="7" t="str">
        <f>IF(H436="ERROR","ERROR",IF(H436="","",IF(AND(F10="*LAB",F436="-"),"F",IF(H436&gt;69.5,"A",IF(H436&gt;59.5,"B",IF(H436&gt;49.5,"C",IF(AND(D10="*PROGRAM",H436&lt;49.5),"F",IF(H436&gt;44.5,"D",IF(H436&gt;39.5,"E","F")))))))))</f>
        <v/>
      </c>
      <c r="J436" s="7" t="str">
        <f t="shared" si="21"/>
        <v/>
      </c>
      <c r="K436" s="1"/>
    </row>
    <row r="437" ht="15.75" customHeight="1" spans="1:11">
      <c r="A437" s="7">
        <v>296</v>
      </c>
      <c r="B437" s="43"/>
      <c r="C437" s="7"/>
      <c r="D437" s="7" t="str">
        <f>IF(D11="","",IF(H437="","",D11))</f>
        <v/>
      </c>
      <c r="E437" s="7"/>
      <c r="F437" s="7"/>
      <c r="G437" s="7"/>
      <c r="H437" s="10" t="str">
        <f>IF(AND(E437="",F437="",G437=""),"",IF(SUM(E437:G437)&gt;100,"ERROR",IF(AND(E10="TEST",SUM(E437:G437)&lt;=100),SUM(E437:G437),IF(AND(E10="*TEST",F437="",E437&lt;=30,G437&lt;=70),SUM(E437:G437),IF(AND(E10="*TEST",F437&lt;=20,E437&lt;=20,G437&lt;=60),SUM(E437:G437),IF(AND(E10="*TEST",F437="-",E437&lt;=20,G437&lt;=60),SUM(E437:G437),"ERROR"))))))</f>
        <v/>
      </c>
      <c r="I437" s="7" t="str">
        <f>IF(H437="ERROR","ERROR",IF(H437="","",IF(AND(F10="*LAB",F437="-"),"F",IF(H437&gt;69.5,"A",IF(H437&gt;59.5,"B",IF(H437&gt;49.5,"C",IF(AND(D10="*PROGRAM",H437&lt;49.5),"F",IF(H437&gt;44.5,"D",IF(H437&gt;39.5,"E","F")))))))))</f>
        <v/>
      </c>
      <c r="J437" s="7" t="str">
        <f t="shared" si="21"/>
        <v/>
      </c>
      <c r="K437" s="1"/>
    </row>
    <row r="438" ht="15.75" customHeight="1" spans="1:11">
      <c r="A438" s="7">
        <v>297</v>
      </c>
      <c r="B438" s="43"/>
      <c r="C438" s="7"/>
      <c r="D438" s="7" t="str">
        <f>IF(D11="","",IF(H438="","",D11))</f>
        <v/>
      </c>
      <c r="E438" s="7"/>
      <c r="F438" s="7"/>
      <c r="G438" s="7"/>
      <c r="H438" s="10" t="str">
        <f>IF(AND(E438="",F438="",G438=""),"",IF(SUM(E438:G438)&gt;100,"ERROR",IF(AND(E10="TEST",SUM(E438:G438)&lt;=100),SUM(E438:G438),IF(AND(E10="*TEST",F438="",E438&lt;=30,G438&lt;=70),SUM(E438:G438),IF(AND(E10="*TEST",F438&lt;=20,E438&lt;=20,G438&lt;=60),SUM(E438:G438),IF(AND(E10="*TEST",F438="-",E438&lt;=20,G438&lt;=60),SUM(E438:G438),"ERROR"))))))</f>
        <v/>
      </c>
      <c r="I438" s="7" t="str">
        <f>IF(H438="ERROR","ERROR",IF(H438="","",IF(AND(F10="*LAB",F438="-"),"F",IF(H438&gt;69.5,"A",IF(H438&gt;59.5,"B",IF(H438&gt;49.5,"C",IF(AND(D10="*PROGRAM",H438&lt;49.5),"F",IF(H438&gt;44.5,"D",IF(H438&gt;39.5,"E","F")))))))))</f>
        <v/>
      </c>
      <c r="J438" s="7" t="str">
        <f t="shared" si="21"/>
        <v/>
      </c>
      <c r="K438" s="1"/>
    </row>
    <row r="439" ht="15.75" customHeight="1" spans="1:11">
      <c r="A439" s="7">
        <v>298</v>
      </c>
      <c r="B439" s="43"/>
      <c r="C439" s="7"/>
      <c r="D439" s="7" t="str">
        <f>IF(D11="","",IF(H439="","",D11))</f>
        <v/>
      </c>
      <c r="E439" s="7"/>
      <c r="F439" s="7"/>
      <c r="G439" s="7"/>
      <c r="H439" s="10" t="str">
        <f>IF(AND(E439="",F439="",G439=""),"",IF(SUM(E439:G439)&gt;100,"ERROR",IF(AND(E10="TEST",SUM(E439:G439)&lt;=100),SUM(E439:G439),IF(AND(E10="*TEST",F439="",E439&lt;=30,G439&lt;=70),SUM(E439:G439),IF(AND(E10="*TEST",F439&lt;=20,E439&lt;=20,G439&lt;=60),SUM(E439:G439),IF(AND(E10="*TEST",F439="-",E439&lt;=20,G439&lt;=60),SUM(E439:G439),"ERROR"))))))</f>
        <v/>
      </c>
      <c r="I439" s="7" t="str">
        <f>IF(H439="ERROR","ERROR",IF(H439="","",IF(AND(F10="*LAB",F439="-"),"F",IF(H439&gt;69.5,"A",IF(H439&gt;59.5,"B",IF(H439&gt;49.5,"C",IF(AND(D10="*PROGRAM",H439&lt;49.5),"F",IF(H439&gt;44.5,"D",IF(H439&gt;39.5,"E","F")))))))))</f>
        <v/>
      </c>
      <c r="J439" s="7" t="str">
        <f t="shared" si="21"/>
        <v/>
      </c>
      <c r="K439" s="1"/>
    </row>
    <row r="440" ht="15.75" customHeight="1" spans="1:11">
      <c r="A440" s="7">
        <v>299</v>
      </c>
      <c r="B440" s="43"/>
      <c r="C440" s="7"/>
      <c r="D440" s="7" t="str">
        <f>IF(D11="","",IF(H440="","",D11))</f>
        <v/>
      </c>
      <c r="E440" s="7"/>
      <c r="F440" s="7"/>
      <c r="G440" s="7"/>
      <c r="H440" s="10" t="str">
        <f>IF(AND(E440="",F440="",G440=""),"",IF(SUM(E440:G440)&gt;100,"ERROR",IF(AND(E10="TEST",SUM(E440:G440)&lt;=100),SUM(E440:G440),IF(AND(E10="*TEST",F440="",E440&lt;=30,G440&lt;=70),SUM(E440:G440),IF(AND(E10="*TEST",F440&lt;=20,E440&lt;=20,G440&lt;=60),SUM(E440:G440),IF(AND(E10="*TEST",F440="-",E440&lt;=20,G440&lt;=60),SUM(E440:G440),"ERROR"))))))</f>
        <v/>
      </c>
      <c r="I440" s="7" t="str">
        <f>IF(H440="ERROR","ERROR",IF(H440="","",IF(AND(F10="*LAB",F440="-"),"F",IF(H440&gt;69.5,"A",IF(H440&gt;59.5,"B",IF(H440&gt;49.5,"C",IF(AND(D10="*PROGRAM",H440&lt;49.5),"F",IF(H440&gt;44.5,"D",IF(H440&gt;39.5,"E","F")))))))))</f>
        <v/>
      </c>
      <c r="J440" s="7" t="str">
        <f t="shared" si="21"/>
        <v/>
      </c>
      <c r="K440" s="1"/>
    </row>
    <row r="441" ht="15.75" customHeight="1" spans="1:11">
      <c r="A441" s="7">
        <v>300</v>
      </c>
      <c r="B441" s="43"/>
      <c r="C441" s="7"/>
      <c r="D441" s="7" t="str">
        <f>IF(D11="","",IF(H441="","",D11))</f>
        <v/>
      </c>
      <c r="E441" s="7"/>
      <c r="F441" s="7"/>
      <c r="G441" s="7"/>
      <c r="H441" s="10" t="str">
        <f>IF(AND(E441="",F441="",G441=""),"",IF(SUM(E441:G441)&gt;100,"ERROR",IF(AND(E10="TEST",SUM(E441:G441)&lt;=100),SUM(E441:G441),IF(AND(E10="*TEST",F441="",E441&lt;=30,G441&lt;=70),SUM(E441:G441),IF(AND(E10="*TEST",F441&lt;=20,E441&lt;=20,G441&lt;=60),SUM(E441:G441),IF(AND(E10="*TEST",F441="-",E441&lt;=20,G441&lt;=60),SUM(E441:G441),"ERROR"))))))</f>
        <v/>
      </c>
      <c r="I441" s="7" t="str">
        <f>IF(H441="ERROR","ERROR",IF(H441="","",IF(AND(F10="*LAB",F441="-"),"F",IF(H441&gt;69.5,"A",IF(H441&gt;59.5,"B",IF(H441&gt;49.5,"C",IF(AND(D10="*PROGRAM",H441&lt;49.5),"F",IF(H441&gt;44.5,"D",IF(H441&gt;39.5,"E","F")))))))))</f>
        <v/>
      </c>
      <c r="J441" s="7" t="str">
        <f t="shared" si="21"/>
        <v/>
      </c>
      <c r="K441" s="1"/>
    </row>
    <row r="442" ht="15.75" customHeight="1" spans="1:11">
      <c r="A442" s="7">
        <v>301</v>
      </c>
      <c r="B442" s="43"/>
      <c r="C442" s="7"/>
      <c r="D442" s="7" t="str">
        <f>IF(D11="","",IF(H442="","",D11))</f>
        <v/>
      </c>
      <c r="E442" s="7"/>
      <c r="F442" s="7"/>
      <c r="G442" s="7"/>
      <c r="H442" s="10" t="str">
        <f>IF(AND(E442="",F442="",G442=""),"",IF(SUM(E442:G442)&gt;100,"ERROR",IF(AND(E10="TEST",SUM(E442:G442)&lt;=100),SUM(E442:G442),IF(AND(E10="*TEST",F442="",E442&lt;=30,G442&lt;=70),SUM(E442:G442),IF(AND(E10="*TEST",F442&lt;=20,E442&lt;=20,G442&lt;=60),SUM(E442:G442),IF(AND(E10="*TEST",F442="-",E442&lt;=20,G442&lt;=60),SUM(E442:G442),"ERROR"))))))</f>
        <v/>
      </c>
      <c r="I442" s="7" t="str">
        <f>IF(H442="ERROR","ERROR",IF(H442="","",IF(AND(F10="*LAB",F442="-"),"F",IF(H442&gt;69.5,"A",IF(H442&gt;59.5,"B",IF(H442&gt;49.5,"C",IF(AND(D10="*PROGRAM",H442&lt;49.5),"F",IF(H442&gt;44.5,"D",IF(H442&gt;39.5,"E","F")))))))))</f>
        <v/>
      </c>
      <c r="J442" s="7" t="str">
        <f t="shared" si="21"/>
        <v/>
      </c>
      <c r="K442" s="1"/>
    </row>
    <row r="443" ht="15.75" customHeight="1" spans="1:11">
      <c r="A443" s="7">
        <v>302</v>
      </c>
      <c r="B443" s="43"/>
      <c r="C443" s="7"/>
      <c r="D443" s="7" t="str">
        <f>IF(D11="","",IF(H443="","",D11))</f>
        <v/>
      </c>
      <c r="E443" s="7"/>
      <c r="F443" s="7"/>
      <c r="G443" s="7"/>
      <c r="H443" s="10" t="str">
        <f>IF(AND(E443="",F443="",G443=""),"",IF(SUM(E443:G443)&gt;100,"ERROR",IF(AND(E10="TEST",SUM(E443:G443)&lt;=100),SUM(E443:G443),IF(AND(E10="*TEST",F443="",E443&lt;=30,G443&lt;=70),SUM(E443:G443),IF(AND(E10="*TEST",F443&lt;=20,E443&lt;=20,G443&lt;=60),SUM(E443:G443),IF(AND(E10="*TEST",F443="-",E443&lt;=20,G443&lt;=60),SUM(E443:G443),"ERROR"))))))</f>
        <v/>
      </c>
      <c r="I443" s="7" t="str">
        <f>IF(H443="ERROR","ERROR",IF(H443="","",IF(AND(F10="*LAB",F443="-"),"F",IF(H443&gt;69.5,"A",IF(H443&gt;59.5,"B",IF(H443&gt;49.5,"C",IF(AND(D10="*PROGRAM",H443&lt;49.5),"F",IF(H443&gt;44.5,"D",IF(H443&gt;39.5,"E","F")))))))))</f>
        <v/>
      </c>
      <c r="J443" s="7" t="str">
        <f t="shared" si="21"/>
        <v/>
      </c>
      <c r="K443" s="1"/>
    </row>
    <row r="444" ht="15.75" customHeight="1" spans="1:11">
      <c r="A444" s="7">
        <v>303</v>
      </c>
      <c r="B444" s="43"/>
      <c r="C444" s="7"/>
      <c r="D444" s="7" t="str">
        <f>IF(D11="","",IF(H444="","",D11))</f>
        <v/>
      </c>
      <c r="E444" s="7"/>
      <c r="F444" s="7"/>
      <c r="G444" s="7"/>
      <c r="H444" s="10" t="str">
        <f>IF(AND(E444="",F444="",G444=""),"",IF(SUM(E444:G444)&gt;100,"ERROR",IF(AND(E10="TEST",SUM(E444:G444)&lt;=100),SUM(E444:G444),IF(AND(E10="*TEST",F444="",E444&lt;=30,G444&lt;=70),SUM(E444:G444),IF(AND(E10="*TEST",F444&lt;=20,E444&lt;=20,G444&lt;=60),SUM(E444:G444),IF(AND(E10="*TEST",F444="-",E444&lt;=20,G444&lt;=60),SUM(E444:G444),"ERROR"))))))</f>
        <v/>
      </c>
      <c r="I444" s="7" t="str">
        <f>IF(H444="ERROR","ERROR",IF(H444="","",IF(AND(F10="*LAB",F444="-"),"F",IF(H444&gt;69.5,"A",IF(H444&gt;59.5,"B",IF(H444&gt;49.5,"C",IF(AND(D10="*PROGRAM",H444&lt;49.5),"F",IF(H444&gt;44.5,"D",IF(H444&gt;39.5,"E","F")))))))))</f>
        <v/>
      </c>
      <c r="J444" s="7" t="str">
        <f t="shared" si="21"/>
        <v/>
      </c>
      <c r="K444" s="1"/>
    </row>
    <row r="445" ht="15.75" customHeight="1" spans="1:11">
      <c r="A445" s="7">
        <v>304</v>
      </c>
      <c r="B445" s="43"/>
      <c r="C445" s="7"/>
      <c r="D445" s="7" t="str">
        <f>IF(D11="","",IF(H445="","",D11))</f>
        <v/>
      </c>
      <c r="E445" s="7"/>
      <c r="F445" s="7"/>
      <c r="G445" s="7"/>
      <c r="H445" s="10" t="str">
        <f>IF(AND(E445="",F445="",G445=""),"",IF(SUM(E445:G445)&gt;100,"ERROR",IF(AND(E10="TEST",SUM(E445:G445)&lt;=100),SUM(E445:G445),IF(AND(E10="*TEST",F445="",E445&lt;=30,G445&lt;=70),SUM(E445:G445),IF(AND(E10="*TEST",F445&lt;=20,E445&lt;=20,G445&lt;=60),SUM(E445:G445),IF(AND(E10="*TEST",F445="-",E445&lt;=20,G445&lt;=60),SUM(E445:G445),"ERROR"))))))</f>
        <v/>
      </c>
      <c r="I445" s="7" t="str">
        <f>IF(H445="ERROR","ERROR",IF(H445="","",IF(AND(F10="*LAB",F445="-"),"F",IF(H445&gt;69.5,"A",IF(H445&gt;59.5,"B",IF(H445&gt;49.5,"C",IF(AND(D10="*PROGRAM",H445&lt;49.5),"F",IF(H445&gt;44.5,"D",IF(H445&gt;39.5,"E","F")))))))))</f>
        <v/>
      </c>
      <c r="J445" s="7" t="str">
        <f t="shared" si="21"/>
        <v/>
      </c>
      <c r="K445" s="1"/>
    </row>
    <row r="446" ht="15.75" customHeight="1" spans="1:11">
      <c r="A446" s="7">
        <v>305</v>
      </c>
      <c r="B446" s="43"/>
      <c r="C446" s="7"/>
      <c r="D446" s="7" t="str">
        <f>IF(D11="","",IF(H446="","",D11))</f>
        <v/>
      </c>
      <c r="E446" s="7"/>
      <c r="F446" s="7"/>
      <c r="G446" s="7"/>
      <c r="H446" s="10" t="str">
        <f>IF(AND(E446="",F446="",G446=""),"",IF(SUM(E446:G446)&gt;100,"ERROR",IF(AND(E10="TEST",SUM(E446:G446)&lt;=100),SUM(E446:G446),IF(AND(E10="*TEST",F446="",E446&lt;=30,G446&lt;=70),SUM(E446:G446),IF(AND(E10="*TEST",F446&lt;=20,E446&lt;=20,G446&lt;=60),SUM(E446:G446),IF(AND(E10="*TEST",F446="-",E446&lt;=20,G446&lt;=60),SUM(E446:G446),"ERROR"))))))</f>
        <v/>
      </c>
      <c r="I446" s="7" t="str">
        <f>IF(H446="ERROR","ERROR",IF(H446="","",IF(AND(F10="*LAB",F446="-"),"F",IF(H446&gt;69.5,"A",IF(H446&gt;59.5,"B",IF(H446&gt;49.5,"C",IF(AND(D10="*PROGRAM",H446&lt;49.5),"F",IF(H446&gt;44.5,"D",IF(H446&gt;39.5,"E","F")))))))))</f>
        <v/>
      </c>
      <c r="J446" s="7" t="str">
        <f t="shared" si="21"/>
        <v/>
      </c>
      <c r="K446" s="1"/>
    </row>
    <row r="447" ht="15.75" customHeight="1" spans="1:11">
      <c r="A447" s="7">
        <v>306</v>
      </c>
      <c r="B447" s="43"/>
      <c r="C447" s="7"/>
      <c r="D447" s="7" t="str">
        <f>IF(D11="","",IF(H447="","",D11))</f>
        <v/>
      </c>
      <c r="E447" s="7"/>
      <c r="F447" s="7"/>
      <c r="G447" s="7"/>
      <c r="H447" s="10" t="str">
        <f>IF(AND(E447="",F447="",G447=""),"",IF(SUM(E447:G447)&gt;100,"ERROR",IF(AND(E10="TEST",SUM(E447:G447)&lt;=100),SUM(E447:G447),IF(AND(E10="*TEST",F447="",E447&lt;=30,G447&lt;=70),SUM(E447:G447),IF(AND(E10="*TEST",F447&lt;=20,E447&lt;=20,G447&lt;=60),SUM(E447:G447),IF(AND(E10="*TEST",F447="-",E447&lt;=20,G447&lt;=60),SUM(E447:G447),"ERROR"))))))</f>
        <v/>
      </c>
      <c r="I447" s="7" t="str">
        <f>IF(H447="ERROR","ERROR",IF(H447="","",IF(AND(F10="*LAB",F447="-"),"F",IF(H447&gt;69.5,"A",IF(H447&gt;59.5,"B",IF(H447&gt;49.5,"C",IF(AND(D10="*PROGRAM",H447&lt;49.5),"F",IF(H447&gt;44.5,"D",IF(H447&gt;39.5,"E","F")))))))))</f>
        <v/>
      </c>
      <c r="J447" s="7" t="str">
        <f t="shared" si="21"/>
        <v/>
      </c>
      <c r="K447" s="1"/>
    </row>
    <row r="448" ht="15.75" customHeight="1" spans="1:11">
      <c r="A448" s="7">
        <v>307</v>
      </c>
      <c r="B448" s="43"/>
      <c r="C448" s="7"/>
      <c r="D448" s="7" t="str">
        <f>IF(D11="","",IF(H448="","",D11))</f>
        <v/>
      </c>
      <c r="E448" s="7"/>
      <c r="F448" s="7"/>
      <c r="G448" s="7"/>
      <c r="H448" s="10" t="str">
        <f>IF(AND(E448="",F448="",G448=""),"",IF(SUM(E448:G448)&gt;100,"ERROR",IF(AND(E10="TEST",SUM(E448:G448)&lt;=100),SUM(E448:G448),IF(AND(E10="*TEST",F448="",E448&lt;=30,G448&lt;=70),SUM(E448:G448),IF(AND(E10="*TEST",F448&lt;=20,E448&lt;=20,G448&lt;=60),SUM(E448:G448),IF(AND(E10="*TEST",F448="-",E448&lt;=20,G448&lt;=60),SUM(E448:G448),"ERROR"))))))</f>
        <v/>
      </c>
      <c r="I448" s="7" t="str">
        <f>IF(H448="ERROR","ERROR",IF(H448="","",IF(AND(F10="*LAB",F448="-"),"F",IF(H448&gt;69.5,"A",IF(H448&gt;59.5,"B",IF(H448&gt;49.5,"C",IF(AND(D10="*PROGRAM",H448&lt;49.5),"F",IF(H448&gt;44.5,"D",IF(H448&gt;39.5,"E","F")))))))))</f>
        <v/>
      </c>
      <c r="J448" s="7" t="str">
        <f t="shared" si="21"/>
        <v/>
      </c>
      <c r="K448" s="1"/>
    </row>
    <row r="449" ht="15.75" customHeight="1" spans="1:11">
      <c r="A449" s="7">
        <v>308</v>
      </c>
      <c r="B449" s="43"/>
      <c r="C449" s="7"/>
      <c r="D449" s="7" t="str">
        <f>IF(D11="","",IF(H449="","",D11))</f>
        <v/>
      </c>
      <c r="E449" s="7"/>
      <c r="F449" s="7"/>
      <c r="G449" s="7"/>
      <c r="H449" s="10" t="str">
        <f>IF(AND(E449="",F449="",G449=""),"",IF(SUM(E449:G449)&gt;100,"ERROR",IF(AND(E10="TEST",SUM(E449:G449)&lt;=100),SUM(E449:G449),IF(AND(E10="*TEST",F449="",E449&lt;=30,G449&lt;=70),SUM(E449:G449),IF(AND(E10="*TEST",F449&lt;=20,E449&lt;=20,G449&lt;=60),SUM(E449:G449),IF(AND(E10="*TEST",F449="-",E449&lt;=20,G449&lt;=60),SUM(E449:G449),"ERROR"))))))</f>
        <v/>
      </c>
      <c r="I449" s="7" t="str">
        <f>IF(H449="ERROR","ERROR",IF(H449="","",IF(AND(F10="*LAB",F449="-"),"F",IF(H449&gt;69.5,"A",IF(H449&gt;59.5,"B",IF(H449&gt;49.5,"C",IF(AND(D10="*PROGRAM",H449&lt;49.5),"F",IF(H449&gt;44.5,"D",IF(H449&gt;39.5,"E","F")))))))))</f>
        <v/>
      </c>
      <c r="J449" s="7" t="str">
        <f t="shared" si="21"/>
        <v/>
      </c>
      <c r="K449" s="1"/>
    </row>
    <row r="450" ht="15.75" customHeight="1" spans="1:11">
      <c r="A450" s="7">
        <v>309</v>
      </c>
      <c r="B450" s="43"/>
      <c r="C450" s="7"/>
      <c r="D450" s="7" t="str">
        <f>IF(D11="","",IF(H450="","",D11))</f>
        <v/>
      </c>
      <c r="E450" s="7"/>
      <c r="F450" s="7"/>
      <c r="G450" s="7"/>
      <c r="H450" s="10" t="str">
        <f>IF(AND(E450="",F450="",G450=""),"",IF(SUM(E450:G450)&gt;100,"ERROR",IF(AND(E10="TEST",SUM(E450:G450)&lt;=100),SUM(E450:G450),IF(AND(E10="*TEST",F450="",E450&lt;=30,G450&lt;=70),SUM(E450:G450),IF(AND(E10="*TEST",F450&lt;=20,E450&lt;=20,G450&lt;=60),SUM(E450:G450),IF(AND(E10="*TEST",F450="-",E450&lt;=20,G450&lt;=60),SUM(E450:G450),"ERROR"))))))</f>
        <v/>
      </c>
      <c r="I450" s="7" t="str">
        <f>IF(H450="ERROR","ERROR",IF(H450="","",IF(AND(F10="*LAB",F450="-"),"F",IF(H450&gt;69.5,"A",IF(H450&gt;59.5,"B",IF(H450&gt;49.5,"C",IF(AND(D10="*PROGRAM",H450&lt;49.5),"F",IF(H450&gt;44.5,"D",IF(H450&gt;39.5,"E","F")))))))))</f>
        <v/>
      </c>
      <c r="J450" s="7" t="str">
        <f t="shared" si="21"/>
        <v/>
      </c>
      <c r="K450" s="1"/>
    </row>
    <row r="451" ht="15.75" customHeight="1" spans="1:11">
      <c r="A451" s="7">
        <v>310</v>
      </c>
      <c r="B451" s="43"/>
      <c r="C451" s="7"/>
      <c r="D451" s="7" t="str">
        <f>IF(D11="","",IF(H451="","",D11))</f>
        <v/>
      </c>
      <c r="E451" s="7"/>
      <c r="F451" s="7"/>
      <c r="G451" s="7"/>
      <c r="H451" s="10" t="str">
        <f>IF(AND(E451="",F451="",G451=""),"",IF(SUM(E451:G451)&gt;100,"ERROR",IF(AND(E10="TEST",SUM(E451:G451)&lt;=100),SUM(E451:G451),IF(AND(E10="*TEST",F451="",E451&lt;=30,G451&lt;=70),SUM(E451:G451),IF(AND(E10="*TEST",F451&lt;=20,E451&lt;=20,G451&lt;=60),SUM(E451:G451),IF(AND(E10="*TEST",F451="-",E451&lt;=20,G451&lt;=60),SUM(E451:G451),"ERROR"))))))</f>
        <v/>
      </c>
      <c r="I451" s="7" t="str">
        <f>IF(H451="ERROR","ERROR",IF(H451="","",IF(AND(F10="*LAB",F451="-"),"F",IF(H451&gt;69.5,"A",IF(H451&gt;59.5,"B",IF(H451&gt;49.5,"C",IF(AND(D10="*PROGRAM",H451&lt;49.5),"F",IF(H451&gt;44.5,"D",IF(H451&gt;39.5,"E","F")))))))))</f>
        <v/>
      </c>
      <c r="J451" s="7" t="str">
        <f t="shared" si="21"/>
        <v/>
      </c>
      <c r="K451" s="1"/>
    </row>
    <row r="452" ht="15.75" customHeight="1" spans="1:11">
      <c r="A452" s="7">
        <v>311</v>
      </c>
      <c r="B452" s="43"/>
      <c r="C452" s="7"/>
      <c r="D452" s="7" t="str">
        <f>IF(D11="","",IF(H452="","",D11))</f>
        <v/>
      </c>
      <c r="E452" s="7"/>
      <c r="F452" s="7"/>
      <c r="G452" s="7"/>
      <c r="H452" s="10" t="str">
        <f>IF(AND(E452="",F452="",G452=""),"",IF(SUM(E452:G452)&gt;100,"ERROR",IF(AND(E10="TEST",SUM(E452:G452)&lt;=100),SUM(E452:G452),IF(AND(E10="*TEST",F452="",E452&lt;=30,G452&lt;=70),SUM(E452:G452),IF(AND(E10="*TEST",F452&lt;=20,E452&lt;=20,G452&lt;=60),SUM(E452:G452),IF(AND(E10="*TEST",F452="-",E452&lt;=20,G452&lt;=60),SUM(E452:G452),"ERROR"))))))</f>
        <v/>
      </c>
      <c r="I452" s="7" t="str">
        <f>IF(H452="ERROR","ERROR",IF(H452="","",IF(AND(F10="*LAB",F452="-"),"F",IF(H452&gt;69.5,"A",IF(H452&gt;59.5,"B",IF(H452&gt;49.5,"C",IF(AND(D10="*PROGRAM",H452&lt;49.5),"F",IF(H452&gt;44.5,"D",IF(H452&gt;39.5,"E","F")))))))))</f>
        <v/>
      </c>
      <c r="J452" s="7" t="str">
        <f t="shared" si="21"/>
        <v/>
      </c>
      <c r="K452" s="1"/>
    </row>
    <row r="453" ht="15.75" customHeight="1" spans="1:11">
      <c r="A453" s="7">
        <v>312</v>
      </c>
      <c r="B453" s="43"/>
      <c r="C453" s="7"/>
      <c r="D453" s="7" t="str">
        <f>IF(D11="","",IF(H453="","",D11))</f>
        <v/>
      </c>
      <c r="E453" s="7"/>
      <c r="F453" s="7"/>
      <c r="G453" s="7"/>
      <c r="H453" s="10" t="str">
        <f>IF(AND(E453="",F453="",G453=""),"",IF(SUM(E453:G453)&gt;100,"ERROR",IF(AND(E10="TEST",SUM(E453:G453)&lt;=100),SUM(E453:G453),IF(AND(E10="*TEST",F453="",E453&lt;=30,G453&lt;=70),SUM(E453:G453),IF(AND(E10="*TEST",F453&lt;=20,E453&lt;=20,G453&lt;=60),SUM(E453:G453),IF(AND(E10="*TEST",F453="-",E453&lt;=20,G453&lt;=60),SUM(E453:G453),"ERROR"))))))</f>
        <v/>
      </c>
      <c r="I453" s="7" t="str">
        <f>IF(H453="ERROR","ERROR",IF(H453="","",IF(AND(F10="*LAB",F453="-"),"F",IF(H453&gt;69.5,"A",IF(H453&gt;59.5,"B",IF(H453&gt;49.5,"C",IF(AND(D10="*PROGRAM",H453&lt;49.5),"F",IF(H453&gt;44.5,"D",IF(H453&gt;39.5,"E","F")))))))))</f>
        <v/>
      </c>
      <c r="J453" s="7" t="str">
        <f t="shared" si="21"/>
        <v/>
      </c>
      <c r="K453" s="1"/>
    </row>
    <row r="454" ht="15.75" customHeight="1" spans="1:11">
      <c r="A454" s="7">
        <v>313</v>
      </c>
      <c r="B454" s="43"/>
      <c r="C454" s="7"/>
      <c r="D454" s="7" t="str">
        <f>IF(D11="","",IF(H454="","",D11))</f>
        <v/>
      </c>
      <c r="E454" s="7"/>
      <c r="F454" s="7"/>
      <c r="G454" s="7"/>
      <c r="H454" s="10" t="str">
        <f>IF(AND(E454="",F454="",G454=""),"",IF(SUM(E454:G454)&gt;100,"ERROR",IF(AND(E10="TEST",SUM(E454:G454)&lt;=100),SUM(E454:G454),IF(AND(E10="*TEST",F454="",E454&lt;=30,G454&lt;=70),SUM(E454:G454),IF(AND(E10="*TEST",F454&lt;=20,E454&lt;=20,G454&lt;=60),SUM(E454:G454),IF(AND(E10="*TEST",F454="-",E454&lt;=20,G454&lt;=60),SUM(E454:G454),"ERROR"))))))</f>
        <v/>
      </c>
      <c r="I454" s="7" t="str">
        <f>IF(H454="ERROR","ERROR",IF(H454="","",IF(AND(F10="*LAB",F454="-"),"F",IF(H454&gt;69.5,"A",IF(H454&gt;59.5,"B",IF(H454&gt;49.5,"C",IF(AND(D10="*PROGRAM",H454&lt;49.5),"F",IF(H454&gt;44.5,"D",IF(H454&gt;39.5,"E","F")))))))))</f>
        <v/>
      </c>
      <c r="J454" s="7" t="str">
        <f t="shared" si="21"/>
        <v/>
      </c>
      <c r="K454" s="1"/>
    </row>
    <row r="455" ht="15.75" customHeight="1" spans="1:11">
      <c r="A455" s="7">
        <v>314</v>
      </c>
      <c r="B455" s="43"/>
      <c r="C455" s="7"/>
      <c r="D455" s="7" t="str">
        <f>IF(D11="","",IF(H455="","",D11))</f>
        <v/>
      </c>
      <c r="E455" s="7"/>
      <c r="F455" s="7"/>
      <c r="G455" s="7"/>
      <c r="H455" s="10" t="str">
        <f>IF(AND(E455="",F455="",G455=""),"",IF(SUM(E455:G455)&gt;100,"ERROR",IF(AND(E10="TEST",SUM(E455:G455)&lt;=100),SUM(E455:G455),IF(AND(E10="*TEST",F455="",E455&lt;=30,G455&lt;=70),SUM(E455:G455),IF(AND(E10="*TEST",F455&lt;=20,E455&lt;=20,G455&lt;=60),SUM(E455:G455),IF(AND(E10="*TEST",F455="-",E455&lt;=20,G455&lt;=60),SUM(E455:G455),"ERROR"))))))</f>
        <v/>
      </c>
      <c r="I455" s="7" t="str">
        <f>IF(H455="ERROR","ERROR",IF(H455="","",IF(AND(F10="*LAB",F455="-"),"F",IF(H455&gt;69.5,"A",IF(H455&gt;59.5,"B",IF(H455&gt;49.5,"C",IF(AND(D10="*PROGRAM",H455&lt;49.5),"F",IF(H455&gt;44.5,"D",IF(H455&gt;39.5,"E","F")))))))))</f>
        <v/>
      </c>
      <c r="J455" s="7" t="str">
        <f t="shared" si="21"/>
        <v/>
      </c>
      <c r="K455" s="1"/>
    </row>
    <row r="456" ht="15.75" customHeight="1" spans="1:11">
      <c r="A456" s="7">
        <v>315</v>
      </c>
      <c r="B456" s="43"/>
      <c r="C456" s="7"/>
      <c r="D456" s="7" t="str">
        <f>IF(D11="","",IF(H456="","",D11))</f>
        <v/>
      </c>
      <c r="E456" s="7"/>
      <c r="F456" s="7"/>
      <c r="G456" s="7"/>
      <c r="H456" s="10" t="str">
        <f>IF(AND(E456="",F456="",G456=""),"",IF(SUM(E456:G456)&gt;100,"ERROR",IF(AND(E10="TEST",SUM(E456:G456)&lt;=100),SUM(E456:G456),IF(AND(E10="*TEST",F456="",E456&lt;=30,G456&lt;=70),SUM(E456:G456),IF(AND(E10="*TEST",F456&lt;=20,E456&lt;=20,G456&lt;=60),SUM(E456:G456),IF(AND(E10="*TEST",F456="-",E456&lt;=20,G456&lt;=60),SUM(E456:G456),"ERROR"))))))</f>
        <v/>
      </c>
      <c r="I456" s="7" t="str">
        <f>IF(H456="ERROR","ERROR",IF(H456="","",IF(AND(F10="*LAB",F456="-"),"F",IF(H456&gt;69.5,"A",IF(H456&gt;59.5,"B",IF(H456&gt;49.5,"C",IF(AND(D10="*PROGRAM",H456&lt;49.5),"F",IF(H456&gt;44.5,"D",IF(H456&gt;39.5,"E","F")))))))))</f>
        <v/>
      </c>
      <c r="J456" s="7" t="str">
        <f t="shared" si="21"/>
        <v/>
      </c>
      <c r="K456" s="1"/>
    </row>
    <row r="457" ht="15.75" customHeight="1" spans="1:11">
      <c r="A457" s="7">
        <v>316</v>
      </c>
      <c r="B457" s="43"/>
      <c r="C457" s="7"/>
      <c r="D457" s="7" t="str">
        <f>IF(D11="","",IF(H457="","",D11))</f>
        <v/>
      </c>
      <c r="E457" s="7"/>
      <c r="F457" s="7"/>
      <c r="G457" s="7"/>
      <c r="H457" s="10" t="str">
        <f>IF(AND(E457="",F457="",G457=""),"",IF(SUM(E457:G457)&gt;100,"ERROR",IF(AND(E10="TEST",SUM(E457:G457)&lt;=100),SUM(E457:G457),IF(AND(E10="*TEST",F457="",E457&lt;=30,G457&lt;=70),SUM(E457:G457),IF(AND(E10="*TEST",F457&lt;=20,E457&lt;=20,G457&lt;=60),SUM(E457:G457),IF(AND(E10="*TEST",F457="-",E457&lt;=20,G457&lt;=60),SUM(E457:G457),"ERROR"))))))</f>
        <v/>
      </c>
      <c r="I457" s="7" t="str">
        <f>IF(H457="ERROR","ERROR",IF(H457="","",IF(AND(F10="*LAB",F457="-"),"F",IF(H457&gt;69.5,"A",IF(H457&gt;59.5,"B",IF(H457&gt;49.5,"C",IF(AND(D10="*PROGRAM",H457&lt;49.5),"F",IF(H457&gt;44.5,"D",IF(H457&gt;39.5,"E","F")))))))))</f>
        <v/>
      </c>
      <c r="J457" s="7" t="str">
        <f t="shared" si="21"/>
        <v/>
      </c>
      <c r="K457" s="1"/>
    </row>
    <row r="458" ht="15.75" customHeight="1" spans="1:11">
      <c r="A458" s="7">
        <v>317</v>
      </c>
      <c r="B458" s="43"/>
      <c r="C458" s="7"/>
      <c r="D458" s="7" t="str">
        <f>IF(D11="","",IF(H458="","",D11))</f>
        <v/>
      </c>
      <c r="E458" s="7"/>
      <c r="F458" s="7"/>
      <c r="G458" s="7"/>
      <c r="H458" s="10" t="str">
        <f>IF(AND(E458="",F458="",G458=""),"",IF(SUM(E458:G458)&gt;100,"ERROR",IF(AND(E10="TEST",SUM(E458:G458)&lt;=100),SUM(E458:G458),IF(AND(E10="*TEST",F458="",E458&lt;=30,G458&lt;=70),SUM(E458:G458),IF(AND(E10="*TEST",F458&lt;=20,E458&lt;=20,G458&lt;=60),SUM(E458:G458),IF(AND(E10="*TEST",F458="-",E458&lt;=20,G458&lt;=60),SUM(E458:G458),"ERROR"))))))</f>
        <v/>
      </c>
      <c r="I458" s="7" t="str">
        <f>IF(H458="ERROR","ERROR",IF(H458="","",IF(AND(F10="*LAB",F458="-"),"F",IF(H458&gt;69.5,"A",IF(H458&gt;59.5,"B",IF(H458&gt;49.5,"C",IF(AND(D10="*PROGRAM",H458&lt;49.5),"F",IF(H458&gt;44.5,"D",IF(H458&gt;39.5,"E","F")))))))))</f>
        <v/>
      </c>
      <c r="J458" s="7" t="str">
        <f t="shared" si="21"/>
        <v/>
      </c>
      <c r="K458" s="1"/>
    </row>
    <row r="459" ht="15.75" customHeight="1" spans="1:11">
      <c r="A459" s="7">
        <v>318</v>
      </c>
      <c r="B459" s="43"/>
      <c r="C459" s="7"/>
      <c r="D459" s="7" t="str">
        <f>IF(D11="","",IF(H459="","",D11))</f>
        <v/>
      </c>
      <c r="E459" s="7"/>
      <c r="F459" s="7"/>
      <c r="G459" s="7"/>
      <c r="H459" s="10" t="str">
        <f>IF(AND(E459="",F459="",G459=""),"",IF(SUM(E459:G459)&gt;100,"ERROR",IF(AND(E10="TEST",SUM(E459:G459)&lt;=100),SUM(E459:G459),IF(AND(E10="*TEST",F459="",E459&lt;=30,G459&lt;=70),SUM(E459:G459),IF(AND(E10="*TEST",F459&lt;=20,E459&lt;=20,G459&lt;=60),SUM(E459:G459),IF(AND(E10="*TEST",F459="-",E459&lt;=20,G459&lt;=60),SUM(E459:G459),"ERROR"))))))</f>
        <v/>
      </c>
      <c r="I459" s="7" t="str">
        <f>IF(H459="ERROR","ERROR",IF(H459="","",IF(AND(F10="*LAB",F459="-"),"F",IF(H459&gt;69.5,"A",IF(H459&gt;59.5,"B",IF(H459&gt;49.5,"C",IF(AND(D10="*PROGRAM",H459&lt;49.5),"F",IF(H459&gt;44.5,"D",IF(H459&gt;39.5,"E","F")))))))))</f>
        <v/>
      </c>
      <c r="J459" s="7" t="str">
        <f t="shared" si="21"/>
        <v/>
      </c>
      <c r="K459" s="1"/>
    </row>
    <row r="460" ht="15.75" customHeight="1" spans="1:11">
      <c r="A460" s="7">
        <v>319</v>
      </c>
      <c r="B460" s="43"/>
      <c r="C460" s="7"/>
      <c r="D460" s="7" t="str">
        <f>IF(D11="","",IF(H460="","",D11))</f>
        <v/>
      </c>
      <c r="E460" s="7"/>
      <c r="F460" s="7"/>
      <c r="G460" s="7"/>
      <c r="H460" s="10" t="str">
        <f>IF(AND(E460="",F460="",G460=""),"",IF(SUM(E460:G460)&gt;100,"ERROR",IF(AND(E10="TEST",SUM(E460:G460)&lt;=100),SUM(E460:G460),IF(AND(E10="*TEST",F460="",E460&lt;=30,G460&lt;=70),SUM(E460:G460),IF(AND(E10="*TEST",F460&lt;=20,E460&lt;=20,G460&lt;=60),SUM(E460:G460),IF(AND(E10="*TEST",F460="-",E460&lt;=20,G460&lt;=60),SUM(E460:G460),"ERROR"))))))</f>
        <v/>
      </c>
      <c r="I460" s="7" t="str">
        <f>IF(H460="ERROR","ERROR",IF(H460="","",IF(AND(F10="*LAB",F460="-"),"F",IF(H460&gt;69.5,"A",IF(H460&gt;59.5,"B",IF(H460&gt;49.5,"C",IF(AND(D10="*PROGRAM",H460&lt;49.5),"F",IF(H460&gt;44.5,"D",IF(H460&gt;39.5,"E","F")))))))))</f>
        <v/>
      </c>
      <c r="J460" s="7" t="str">
        <f t="shared" si="21"/>
        <v/>
      </c>
      <c r="K460" s="1"/>
    </row>
    <row r="461" ht="15.75" customHeight="1" spans="1:11">
      <c r="A461" s="7">
        <v>320</v>
      </c>
      <c r="B461" s="43"/>
      <c r="C461" s="7"/>
      <c r="D461" s="7" t="str">
        <f>IF(D11="","",IF(H461="","",D11))</f>
        <v/>
      </c>
      <c r="E461" s="7"/>
      <c r="F461" s="7"/>
      <c r="G461" s="7"/>
      <c r="H461" s="10" t="str">
        <f>IF(AND(E461="",F461="",G461=""),"",IF(SUM(E461:G461)&gt;100,"ERROR",IF(AND(E10="TEST",SUM(E461:G461)&lt;=100),SUM(E461:G461),IF(AND(E10="*TEST",F461="",E461&lt;=30,G461&lt;=70),SUM(E461:G461),IF(AND(E10="*TEST",F461&lt;=20,E461&lt;=20,G461&lt;=60),SUM(E461:G461),IF(AND(E10="*TEST",F461="-",E461&lt;=20,G461&lt;=60),SUM(E461:G461),"ERROR"))))))</f>
        <v/>
      </c>
      <c r="I461" s="7" t="str">
        <f>IF(H461="ERROR","ERROR",IF(H461="","",IF(AND(F10="*LAB",F461="-"),"F",IF(H461&gt;69.5,"A",IF(H461&gt;59.5,"B",IF(H461&gt;49.5,"C",IF(AND(D10="*PROGRAM",H461&lt;49.5),"F",IF(H461&gt;44.5,"D",IF(H461&gt;39.5,"E","F")))))))))</f>
        <v/>
      </c>
      <c r="J461" s="7" t="str">
        <f t="shared" si="21"/>
        <v/>
      </c>
      <c r="K461" s="1"/>
    </row>
    <row r="462" ht="24.75" customHeight="1" spans="1:11">
      <c r="A462" s="1"/>
      <c r="B462" s="44"/>
      <c r="C462" s="1"/>
      <c r="D462" s="1"/>
      <c r="E462" s="1"/>
      <c r="F462" s="1"/>
      <c r="G462" s="13"/>
      <c r="H462" s="14"/>
      <c r="I462" s="14"/>
      <c r="J462" s="14"/>
      <c r="K462" s="1"/>
    </row>
    <row r="463" ht="15.75" customHeight="1" spans="1:11">
      <c r="A463" s="1"/>
      <c r="B463" s="15" t="s">
        <v>60</v>
      </c>
      <c r="C463" s="13"/>
      <c r="D463" s="13"/>
      <c r="E463" s="13"/>
      <c r="F463" s="13"/>
      <c r="G463" s="16" t="s">
        <v>61</v>
      </c>
      <c r="H463" s="17"/>
      <c r="I463" s="17"/>
      <c r="J463" s="17"/>
      <c r="K463" s="1"/>
    </row>
    <row r="464" ht="15.75" customHeight="1" spans="1:11">
      <c r="A464" s="1" t="str">
        <f>IF(AND(I481="",I422&lt;&gt;""),A889,"")</f>
        <v/>
      </c>
      <c r="B464" s="2" t="str">
        <f>IF(A464="","",B889)</f>
        <v/>
      </c>
      <c r="C464" s="16" t="s">
        <v>62</v>
      </c>
      <c r="D464" s="17"/>
      <c r="E464" s="17"/>
      <c r="F464" s="17"/>
      <c r="G464" s="1"/>
      <c r="H464" s="1"/>
      <c r="I464" s="1"/>
      <c r="J464" s="1"/>
      <c r="K464" s="1"/>
    </row>
    <row r="465" ht="15.75" customHeight="1" spans="1:11">
      <c r="A465" s="1" t="str">
        <f>IF(A464="","",A890)</f>
        <v/>
      </c>
      <c r="B465" s="2" t="str">
        <f>IF(A464="","",B890)</f>
        <v/>
      </c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 spans="1:11">
      <c r="A466" s="1" t="str">
        <f>IF(A464="","",A891)</f>
        <v/>
      </c>
      <c r="B466" s="2" t="str">
        <f>IF(A464="","",B891)</f>
        <v/>
      </c>
      <c r="C466" s="18" t="s">
        <v>63</v>
      </c>
      <c r="D466" s="17"/>
      <c r="E466" s="17"/>
      <c r="F466" s="17"/>
      <c r="G466" s="17"/>
      <c r="H466" s="17"/>
      <c r="I466" s="17"/>
      <c r="J466" s="24"/>
      <c r="K466" s="1"/>
    </row>
    <row r="467" ht="15.75" customHeight="1" spans="1:11">
      <c r="A467" s="1" t="str">
        <f>IF(A464="","",A892)</f>
        <v/>
      </c>
      <c r="B467" s="2" t="str">
        <f>IF(A464="","",B892)</f>
        <v/>
      </c>
      <c r="C467" s="19" t="s">
        <v>64</v>
      </c>
      <c r="F467" s="15"/>
      <c r="G467" s="15" t="s">
        <v>65</v>
      </c>
      <c r="J467" s="25"/>
      <c r="K467" s="1"/>
    </row>
    <row r="468" ht="15.75" customHeight="1" spans="1:11">
      <c r="A468" s="1" t="str">
        <f>IF(A464="","",A893)</f>
        <v/>
      </c>
      <c r="B468" s="2" t="str">
        <f>IF(A464="","",B893)</f>
        <v/>
      </c>
      <c r="C468" s="19" t="s">
        <v>66</v>
      </c>
      <c r="F468" s="15"/>
      <c r="G468" s="15" t="s">
        <v>67</v>
      </c>
      <c r="J468" s="25"/>
      <c r="K468" s="1"/>
    </row>
    <row r="469" ht="15.75" customHeight="1" spans="1:11">
      <c r="A469" s="1" t="str">
        <f>IF(A464="","",A894)</f>
        <v/>
      </c>
      <c r="B469" s="2" t="str">
        <f>IF(A464="","",B894)</f>
        <v/>
      </c>
      <c r="C469" s="20" t="s">
        <v>68</v>
      </c>
      <c r="D469" s="14"/>
      <c r="E469" s="14"/>
      <c r="F469" s="21"/>
      <c r="G469" s="21" t="s">
        <v>69</v>
      </c>
      <c r="H469" s="14"/>
      <c r="I469" s="14"/>
      <c r="J469" s="26"/>
      <c r="K469" s="1"/>
    </row>
    <row r="470" ht="15.75" customHeight="1" spans="1:11">
      <c r="A470" s="1" t="str">
        <f>IF(A464="","",A895)</f>
        <v/>
      </c>
      <c r="B470" s="22" t="str">
        <f>IF(A464="","",B895)</f>
        <v/>
      </c>
      <c r="C470" s="1"/>
      <c r="D470" s="1"/>
      <c r="E470" s="1"/>
      <c r="F470" s="1"/>
      <c r="G470" s="1"/>
      <c r="H470" s="1"/>
      <c r="I470" s="1"/>
      <c r="J470" s="27" t="s">
        <v>180</v>
      </c>
      <c r="K470" s="1"/>
    </row>
    <row r="471" ht="15.75" customHeight="1" spans="1:11">
      <c r="A471" s="23"/>
      <c r="B471" s="23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 spans="1:11">
      <c r="A472" s="1"/>
      <c r="B472" s="3" t="s">
        <v>0</v>
      </c>
      <c r="K472" s="1"/>
    </row>
    <row r="473" ht="15.75" customHeight="1" spans="1:11">
      <c r="A473" s="1"/>
      <c r="B473" s="4" t="s">
        <v>1</v>
      </c>
      <c r="K473" s="1"/>
    </row>
    <row r="474" ht="15.75" customHeight="1" spans="1:1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 spans="1:11">
      <c r="A475" s="2" t="str">
        <f t="shared" ref="A475:A478" si="22">A5</f>
        <v>School of Student: SEET</v>
      </c>
      <c r="D475" s="1"/>
      <c r="E475" s="5">
        <f t="shared" ref="E475:E478" si="23">E5</f>
        <v>0</v>
      </c>
      <c r="K475" s="1"/>
    </row>
    <row r="476" ht="15.75" customHeight="1" spans="1:11">
      <c r="A476" s="2" t="str">
        <f t="shared" si="22"/>
        <v>Department: BIOMEDICAL ENGINEERING</v>
      </c>
      <c r="D476" s="1"/>
      <c r="E476" s="5" t="str">
        <f t="shared" si="23"/>
        <v>Session: ---------------------------------</v>
      </c>
      <c r="K476" s="1"/>
    </row>
    <row r="477" ht="15.75" customHeight="1" spans="1:11">
      <c r="A477" s="2" t="str">
        <f t="shared" si="22"/>
        <v>Title of Course: ------------------------</v>
      </c>
      <c r="D477" s="1"/>
      <c r="E477" s="5" t="str">
        <f t="shared" si="23"/>
        <v>Course Code: -------------------------</v>
      </c>
      <c r="K477" s="1"/>
    </row>
    <row r="478" ht="15.75" customHeight="1" spans="1:11">
      <c r="A478" s="2" t="str">
        <f t="shared" si="22"/>
        <v>School Offering Course: ----------------------------</v>
      </c>
      <c r="D478" s="1"/>
      <c r="E478" s="5" t="str">
        <f t="shared" si="23"/>
        <v>Date: -----------------------------</v>
      </c>
      <c r="K478" s="1"/>
    </row>
    <row r="479" ht="15.75" customHeight="1" spans="1:11">
      <c r="A479" s="1"/>
      <c r="B479" s="2"/>
      <c r="C479" s="1"/>
      <c r="D479" s="5"/>
      <c r="E479" s="5"/>
      <c r="F479" s="5"/>
      <c r="G479" s="5"/>
      <c r="H479" s="5"/>
      <c r="I479" s="5"/>
      <c r="J479" s="5"/>
      <c r="K479" s="1"/>
    </row>
    <row r="480" ht="15.75" customHeight="1" spans="1:11">
      <c r="A480" s="6" t="s">
        <v>9</v>
      </c>
      <c r="B480" s="6" t="s">
        <v>10</v>
      </c>
      <c r="C480" s="6" t="s">
        <v>11</v>
      </c>
      <c r="D480" s="6" t="s">
        <v>12</v>
      </c>
      <c r="E480" s="6" t="s">
        <v>13</v>
      </c>
      <c r="F480" s="6" t="s">
        <v>14</v>
      </c>
      <c r="G480" s="6" t="s">
        <v>15</v>
      </c>
      <c r="H480" s="6" t="s">
        <v>16</v>
      </c>
      <c r="I480" s="6" t="s">
        <v>17</v>
      </c>
      <c r="J480" s="6" t="s">
        <v>18</v>
      </c>
      <c r="K480" s="1"/>
    </row>
    <row r="481" ht="15.75" customHeight="1" spans="1:11">
      <c r="A481" s="7">
        <v>321</v>
      </c>
      <c r="B481" s="43"/>
      <c r="C481" s="7"/>
      <c r="D481" s="7" t="str">
        <f>IF(D11="","",IF(H481="","",D11))</f>
        <v/>
      </c>
      <c r="E481" s="7"/>
      <c r="F481" s="7"/>
      <c r="G481" s="7"/>
      <c r="H481" s="10" t="str">
        <f>IF(AND(E481="",F481="",G481=""),"",IF(SUM(E481:G481)&gt;100,"ERROR",IF(AND(E10="TEST",SUM(E481:G481)&lt;=100),SUM(E481:G481),IF(AND(E10="*TEST",F481="",E481&lt;=30,G481&lt;=70),SUM(E481:G481),IF(AND(E10="*TEST",F481&lt;=20,E481&lt;=20,G481&lt;=60),SUM(E481:G481),IF(AND(E10="*TEST",F481="-",E481&lt;=20,G481&lt;=60),SUM(E481:G481),"ERROR"))))))</f>
        <v/>
      </c>
      <c r="I481" s="7" t="str">
        <f>IF(H481="ERROR","ERROR",IF(H481="","",IF(AND(F10="*LAB",F481="-"),"F",IF(H481&gt;69.5,"A",IF(H481&gt;59.5,"B",IF(H481&gt;49.5,"C",IF(AND(D10="*PROGRAM",H481&lt;49.5),"F",IF(H481&gt;44.5,"D",IF(H481&gt;39.5,"E","F")))))))))</f>
        <v/>
      </c>
      <c r="J481" s="7" t="str">
        <f t="shared" ref="J481:J520" si="24">IF(H481="ERROR","ERROR",IF(I481="","",IF(I481="F","FAIL","PASS")))</f>
        <v/>
      </c>
      <c r="K481" s="1"/>
    </row>
    <row r="482" ht="15.75" customHeight="1" spans="1:11">
      <c r="A482" s="7">
        <v>322</v>
      </c>
      <c r="B482" s="43"/>
      <c r="C482" s="7"/>
      <c r="D482" s="7" t="str">
        <f>IF(D11="","",IF(H482="","",D11))</f>
        <v/>
      </c>
      <c r="E482" s="7"/>
      <c r="F482" s="7"/>
      <c r="G482" s="7"/>
      <c r="H482" s="10" t="str">
        <f>IF(AND(E482="",F482="",G482=""),"",IF(SUM(E482:G482)&gt;100,"ERROR",IF(AND(E10="TEST",SUM(E482:G482)&lt;=100),SUM(E482:G482),IF(AND(E10="*TEST",F482="",E482&lt;=30,G482&lt;=70),SUM(E482:G482),IF(AND(E10="*TEST",F482&lt;=20,E482&lt;=20,G482&lt;=60),SUM(E482:G482),IF(AND(E10="*TEST",F482="-",E482&lt;=20,G482&lt;=60),SUM(E482:G482),"ERROR"))))))</f>
        <v/>
      </c>
      <c r="I482" s="7" t="str">
        <f>IF(H482="ERROR","ERROR",IF(H482="","",IF(AND(F10="*LAB",F482="-"),"F",IF(H482&gt;69.5,"A",IF(H482&gt;59.5,"B",IF(H482&gt;49.5,"C",IF(AND(D10="*PROGRAM",H482&lt;49.5),"F",IF(H482&gt;44.5,"D",IF(H482&gt;39.5,"E","F")))))))))</f>
        <v/>
      </c>
      <c r="J482" s="7" t="str">
        <f t="shared" si="24"/>
        <v/>
      </c>
      <c r="K482" s="1"/>
    </row>
    <row r="483" ht="15.75" customHeight="1" spans="1:11">
      <c r="A483" s="7">
        <v>323</v>
      </c>
      <c r="B483" s="43"/>
      <c r="C483" s="7"/>
      <c r="D483" s="7" t="str">
        <f>IF(D11="","",IF(H483="","",D11))</f>
        <v/>
      </c>
      <c r="E483" s="7"/>
      <c r="F483" s="7"/>
      <c r="G483" s="7"/>
      <c r="H483" s="10" t="str">
        <f>IF(AND(E483="",F483="",G483=""),"",IF(SUM(E483:G483)&gt;100,"ERROR",IF(AND(E10="TEST",SUM(E483:G483)&lt;=100),SUM(E483:G483),IF(AND(E10="*TEST",F483="",E483&lt;=30,G483&lt;=70),SUM(E483:G483),IF(AND(E10="*TEST",F483&lt;=20,E483&lt;=20,G483&lt;=60),SUM(E483:G483),IF(AND(E10="*TEST",F483="-",E483&lt;=20,G483&lt;=60),SUM(E483:G483),"ERROR"))))))</f>
        <v/>
      </c>
      <c r="I483" s="7" t="str">
        <f>IF(H483="ERROR","ERROR",IF(H483="","",IF(AND(F10="*LAB",F483="-"),"F",IF(H483&gt;69.5,"A",IF(H483&gt;59.5,"B",IF(H483&gt;49.5,"C",IF(AND(D10="*PROGRAM",H483&lt;49.5),"F",IF(H483&gt;44.5,"D",IF(H483&gt;39.5,"E","F")))))))))</f>
        <v/>
      </c>
      <c r="J483" s="7" t="str">
        <f t="shared" si="24"/>
        <v/>
      </c>
      <c r="K483" s="1"/>
    </row>
    <row r="484" ht="15.75" customHeight="1" spans="1:11">
      <c r="A484" s="7">
        <v>324</v>
      </c>
      <c r="B484" s="43"/>
      <c r="C484" s="7"/>
      <c r="D484" s="7" t="str">
        <f>IF(D11="","",IF(H484="","",D11))</f>
        <v/>
      </c>
      <c r="E484" s="7"/>
      <c r="F484" s="7"/>
      <c r="G484" s="7"/>
      <c r="H484" s="10" t="str">
        <f>IF(AND(E484="",F484="",G484=""),"",IF(SUM(E484:G484)&gt;100,"ERROR",IF(AND(E10="TEST",SUM(E484:G484)&lt;=100),SUM(E484:G484),IF(AND(E10="*TEST",F484="",E484&lt;=30,G484&lt;=70),SUM(E484:G484),IF(AND(E10="*TEST",F484&lt;=20,E484&lt;=20,G484&lt;=60),SUM(E484:G484),IF(AND(E10="*TEST",F484="-",E484&lt;=20,G484&lt;=60),SUM(E484:G484),"ERROR"))))))</f>
        <v/>
      </c>
      <c r="I484" s="7" t="str">
        <f>IF(H484="ERROR","ERROR",IF(H484="","",IF(AND(F10="*LAB",F484="-"),"F",IF(H484&gt;69.5,"A",IF(H484&gt;59.5,"B",IF(H484&gt;49.5,"C",IF(AND(D10="*PROGRAM",H484&lt;49.5),"F",IF(H484&gt;44.5,"D",IF(H484&gt;39.5,"E","F")))))))))</f>
        <v/>
      </c>
      <c r="J484" s="7" t="str">
        <f t="shared" si="24"/>
        <v/>
      </c>
      <c r="K484" s="1"/>
    </row>
    <row r="485" ht="15.75" customHeight="1" spans="1:11">
      <c r="A485" s="7">
        <v>325</v>
      </c>
      <c r="B485" s="43"/>
      <c r="C485" s="7"/>
      <c r="D485" s="7" t="str">
        <f>IF(D11="","",IF(H485="","",D11))</f>
        <v/>
      </c>
      <c r="E485" s="7"/>
      <c r="F485" s="7"/>
      <c r="G485" s="7"/>
      <c r="H485" s="10" t="str">
        <f>IF(AND(E485="",F485="",G485=""),"",IF(SUM(E485:G485)&gt;100,"ERROR",IF(AND(E10="TEST",SUM(E485:G485)&lt;=100),SUM(E485:G485),IF(AND(E10="*TEST",F485="",E485&lt;=30,G485&lt;=70),SUM(E485:G485),IF(AND(E10="*TEST",F485&lt;=20,E485&lt;=20,G485&lt;=60),SUM(E485:G485),IF(AND(E10="*TEST",F485="-",E485&lt;=20,G485&lt;=60),SUM(E485:G485),"ERROR"))))))</f>
        <v/>
      </c>
      <c r="I485" s="7" t="str">
        <f>IF(H485="ERROR","ERROR",IF(H485="","",IF(AND(F10="*LAB",F485="-"),"F",IF(H485&gt;69.5,"A",IF(H485&gt;59.5,"B",IF(H485&gt;49.5,"C",IF(AND(D10="*PROGRAM",H485&lt;49.5),"F",IF(H485&gt;44.5,"D",IF(H485&gt;39.5,"E","F")))))))))</f>
        <v/>
      </c>
      <c r="J485" s="7" t="str">
        <f t="shared" si="24"/>
        <v/>
      </c>
      <c r="K485" s="1"/>
    </row>
    <row r="486" ht="15.75" customHeight="1" spans="1:11">
      <c r="A486" s="7">
        <v>326</v>
      </c>
      <c r="B486" s="43"/>
      <c r="C486" s="7"/>
      <c r="D486" s="7" t="str">
        <f>IF(D11="","",IF(H486="","",D11))</f>
        <v/>
      </c>
      <c r="E486" s="7"/>
      <c r="F486" s="7"/>
      <c r="G486" s="7"/>
      <c r="H486" s="10" t="str">
        <f>IF(AND(E486="",F486="",G486=""),"",IF(SUM(E486:G486)&gt;100,"ERROR",IF(AND(E10="TEST",SUM(E486:G486)&lt;=100),SUM(E486:G486),IF(AND(E10="*TEST",F486="",E486&lt;=30,G486&lt;=70),SUM(E486:G486),IF(AND(E10="*TEST",F486&lt;=20,E486&lt;=20,G486&lt;=60),SUM(E486:G486),IF(AND(E10="*TEST",F486="-",E486&lt;=20,G486&lt;=60),SUM(E486:G486),"ERROR"))))))</f>
        <v/>
      </c>
      <c r="I486" s="7" t="str">
        <f>IF(H486="ERROR","ERROR",IF(H486="","",IF(AND(F10="*LAB",F486="-"),"F",IF(H486&gt;69.5,"A",IF(H486&gt;59.5,"B",IF(H486&gt;49.5,"C",IF(AND(D10="*PROGRAM",H486&lt;49.5),"F",IF(H486&gt;44.5,"D",IF(H486&gt;39.5,"E","F")))))))))</f>
        <v/>
      </c>
      <c r="J486" s="7" t="str">
        <f t="shared" si="24"/>
        <v/>
      </c>
      <c r="K486" s="1"/>
    </row>
    <row r="487" ht="15.75" customHeight="1" spans="1:11">
      <c r="A487" s="7">
        <v>327</v>
      </c>
      <c r="B487" s="43"/>
      <c r="C487" s="7"/>
      <c r="D487" s="7" t="str">
        <f>IF(D11="","",IF(H487="","",D11))</f>
        <v/>
      </c>
      <c r="E487" s="7"/>
      <c r="F487" s="7"/>
      <c r="G487" s="7"/>
      <c r="H487" s="10" t="str">
        <f>IF(AND(E487="",F487="",G487=""),"",IF(SUM(E487:G487)&gt;100,"ERROR",IF(AND(E10="TEST",SUM(E487:G487)&lt;=100),SUM(E487:G487),IF(AND(E10="*TEST",F487="",E487&lt;=30,G487&lt;=70),SUM(E487:G487),IF(AND(E10="*TEST",F487&lt;=20,E487&lt;=20,G487&lt;=60),SUM(E487:G487),IF(AND(E10="*TEST",F487="-",E487&lt;=20,G487&lt;=60),SUM(E487:G487),"ERROR"))))))</f>
        <v/>
      </c>
      <c r="I487" s="7" t="str">
        <f>IF(H487="ERROR","ERROR",IF(H487="","",IF(AND(F10="*LAB",F487="-"),"F",IF(H487&gt;69.5,"A",IF(H487&gt;59.5,"B",IF(H487&gt;49.5,"C",IF(AND(D10="*PROGRAM",H487&lt;49.5),"F",IF(H487&gt;44.5,"D",IF(H487&gt;39.5,"E","F")))))))))</f>
        <v/>
      </c>
      <c r="J487" s="7" t="str">
        <f t="shared" si="24"/>
        <v/>
      </c>
      <c r="K487" s="1"/>
    </row>
    <row r="488" ht="15.75" customHeight="1" spans="1:11">
      <c r="A488" s="7">
        <v>328</v>
      </c>
      <c r="B488" s="43"/>
      <c r="C488" s="7"/>
      <c r="D488" s="7" t="str">
        <f>IF(D11="","",IF(H488="","",D11))</f>
        <v/>
      </c>
      <c r="E488" s="7"/>
      <c r="F488" s="7"/>
      <c r="G488" s="7"/>
      <c r="H488" s="10" t="str">
        <f>IF(AND(E488="",F488="",G488=""),"",IF(SUM(E488:G488)&gt;100,"ERROR",IF(AND(E10="TEST",SUM(E488:G488)&lt;=100),SUM(E488:G488),IF(AND(E10="*TEST",F488="",E488&lt;=30,G488&lt;=70),SUM(E488:G488),IF(AND(E10="*TEST",F488&lt;=20,E488&lt;=20,G488&lt;=60),SUM(E488:G488),IF(AND(E10="*TEST",F488="-",E488&lt;=20,G488&lt;=60),SUM(E488:G488),"ERROR"))))))</f>
        <v/>
      </c>
      <c r="I488" s="7" t="str">
        <f>IF(H488="ERROR","ERROR",IF(H488="","",IF(AND(F10="*LAB",F488="-"),"F",IF(H488&gt;69.5,"A",IF(H488&gt;59.5,"B",IF(H488&gt;49.5,"C",IF(AND(D10="*PROGRAM",H488&lt;49.5),"F",IF(H488&gt;44.5,"D",IF(H488&gt;39.5,"E","F")))))))))</f>
        <v/>
      </c>
      <c r="J488" s="7" t="str">
        <f t="shared" si="24"/>
        <v/>
      </c>
      <c r="K488" s="1"/>
    </row>
    <row r="489" ht="15.75" customHeight="1" spans="1:11">
      <c r="A489" s="7">
        <v>329</v>
      </c>
      <c r="B489" s="43"/>
      <c r="C489" s="7"/>
      <c r="D489" s="7" t="str">
        <f>IF(D11="","",IF(H489="","",D11))</f>
        <v/>
      </c>
      <c r="E489" s="7"/>
      <c r="F489" s="7"/>
      <c r="G489" s="7"/>
      <c r="H489" s="10" t="str">
        <f>IF(AND(E489="",F489="",G489=""),"",IF(SUM(E489:G489)&gt;100,"ERROR",IF(AND(E10="TEST",SUM(E489:G489)&lt;=100),SUM(E489:G489),IF(AND(E10="*TEST",F489="",E489&lt;=30,G489&lt;=70),SUM(E489:G489),IF(AND(E10="*TEST",F489&lt;=20,E489&lt;=20,G489&lt;=60),SUM(E489:G489),IF(AND(E10="*TEST",F489="-",E489&lt;=20,G489&lt;=60),SUM(E489:G489),"ERROR"))))))</f>
        <v/>
      </c>
      <c r="I489" s="7" t="str">
        <f>IF(H489="ERROR","ERROR",IF(H489="","",IF(AND(F10="*LAB",F489="-"),"F",IF(H489&gt;69.5,"A",IF(H489&gt;59.5,"B",IF(H489&gt;49.5,"C",IF(AND(D10="*PROGRAM",H489&lt;49.5),"F",IF(H489&gt;44.5,"D",IF(H489&gt;39.5,"E","F")))))))))</f>
        <v/>
      </c>
      <c r="J489" s="7" t="str">
        <f t="shared" si="24"/>
        <v/>
      </c>
      <c r="K489" s="1"/>
    </row>
    <row r="490" ht="15.75" customHeight="1" spans="1:11">
      <c r="A490" s="7">
        <v>330</v>
      </c>
      <c r="B490" s="43"/>
      <c r="C490" s="7"/>
      <c r="D490" s="7" t="str">
        <f>IF(D11="","",IF(H490="","",D11))</f>
        <v/>
      </c>
      <c r="E490" s="7"/>
      <c r="F490" s="7"/>
      <c r="G490" s="7"/>
      <c r="H490" s="10" t="str">
        <f>IF(AND(E490="",F490="",G490=""),"",IF(SUM(E490:G490)&gt;100,"ERROR",IF(AND(E10="TEST",SUM(E490:G490)&lt;=100),SUM(E490:G490),IF(AND(E10="*TEST",F490="",E490&lt;=30,G490&lt;=70),SUM(E490:G490),IF(AND(E10="*TEST",F490&lt;=20,E490&lt;=20,G490&lt;=60),SUM(E490:G490),IF(AND(E10="*TEST",F490="-",E490&lt;=20,G490&lt;=60),SUM(E490:G490),"ERROR"))))))</f>
        <v/>
      </c>
      <c r="I490" s="7" t="str">
        <f>IF(H490="ERROR","ERROR",IF(H490="","",IF(AND(F10="*LAB",F490="-"),"F",IF(H490&gt;69.5,"A",IF(H490&gt;59.5,"B",IF(H490&gt;49.5,"C",IF(AND(D10="*PROGRAM",H490&lt;49.5),"F",IF(H490&gt;44.5,"D",IF(H490&gt;39.5,"E","F")))))))))</f>
        <v/>
      </c>
      <c r="J490" s="7" t="str">
        <f t="shared" si="24"/>
        <v/>
      </c>
      <c r="K490" s="1"/>
    </row>
    <row r="491" ht="15.75" customHeight="1" spans="1:11">
      <c r="A491" s="7">
        <v>331</v>
      </c>
      <c r="B491" s="43"/>
      <c r="C491" s="7"/>
      <c r="D491" s="7" t="str">
        <f>IF(D11="","",IF(H491="","",D11))</f>
        <v/>
      </c>
      <c r="E491" s="7"/>
      <c r="F491" s="7"/>
      <c r="G491" s="7"/>
      <c r="H491" s="10" t="str">
        <f>IF(AND(E491="",F491="",G491=""),"",IF(SUM(E491:G491)&gt;100,"ERROR",IF(AND(E10="TEST",SUM(E491:G491)&lt;=100),SUM(E491:G491),IF(AND(E10="*TEST",F491="",E491&lt;=30,G491&lt;=70),SUM(E491:G491),IF(AND(E10="*TEST",F491&lt;=20,E491&lt;=20,G491&lt;=60),SUM(E491:G491),IF(AND(E10="*TEST",F491="-",E491&lt;=20,G491&lt;=60),SUM(E491:G491),"ERROR"))))))</f>
        <v/>
      </c>
      <c r="I491" s="7" t="str">
        <f>IF(H491="ERROR","ERROR",IF(H491="","",IF(AND(F10="*LAB",F491="-"),"F",IF(H491&gt;69.5,"A",IF(H491&gt;59.5,"B",IF(H491&gt;49.5,"C",IF(AND(D10="*PROGRAM",H491&lt;49.5),"F",IF(H491&gt;44.5,"D",IF(H491&gt;39.5,"E","F")))))))))</f>
        <v/>
      </c>
      <c r="J491" s="7" t="str">
        <f t="shared" si="24"/>
        <v/>
      </c>
      <c r="K491" s="1"/>
    </row>
    <row r="492" ht="15.75" customHeight="1" spans="1:11">
      <c r="A492" s="7">
        <v>332</v>
      </c>
      <c r="B492" s="43"/>
      <c r="C492" s="7"/>
      <c r="D492" s="7" t="str">
        <f>IF(D11="","",IF(H492="","",D11))</f>
        <v/>
      </c>
      <c r="E492" s="7"/>
      <c r="F492" s="7"/>
      <c r="G492" s="7"/>
      <c r="H492" s="10" t="str">
        <f>IF(AND(E492="",F492="",G492=""),"",IF(SUM(E492:G492)&gt;100,"ERROR",IF(AND(E10="TEST",SUM(E492:G492)&lt;=100),SUM(E492:G492),IF(AND(E10="*TEST",F492="",E492&lt;=30,G492&lt;=70),SUM(E492:G492),IF(AND(E10="*TEST",F492&lt;=20,E492&lt;=20,G492&lt;=60),SUM(E492:G492),IF(AND(E10="*TEST",F492="-",E492&lt;=20,G492&lt;=60),SUM(E492:G492),"ERROR"))))))</f>
        <v/>
      </c>
      <c r="I492" s="7" t="str">
        <f>IF(H492="ERROR","ERROR",IF(H492="","",IF(AND(F10="*LAB",F492="-"),"F",IF(H492&gt;69.5,"A",IF(H492&gt;59.5,"B",IF(H492&gt;49.5,"C",IF(AND(D10="*PROGRAM",H492&lt;49.5),"F",IF(H492&gt;44.5,"D",IF(H492&gt;39.5,"E","F")))))))))</f>
        <v/>
      </c>
      <c r="J492" s="7" t="str">
        <f t="shared" si="24"/>
        <v/>
      </c>
      <c r="K492" s="1"/>
    </row>
    <row r="493" ht="15.75" customHeight="1" spans="1:11">
      <c r="A493" s="7">
        <v>333</v>
      </c>
      <c r="B493" s="43"/>
      <c r="C493" s="7"/>
      <c r="D493" s="7" t="str">
        <f>IF(D11="","",IF(H493="","",D11))</f>
        <v/>
      </c>
      <c r="E493" s="7"/>
      <c r="F493" s="7"/>
      <c r="G493" s="7"/>
      <c r="H493" s="10" t="str">
        <f>IF(AND(E493="",F493="",G493=""),"",IF(SUM(E493:G493)&gt;100,"ERROR",IF(AND(E10="TEST",SUM(E493:G493)&lt;=100),SUM(E493:G493),IF(AND(E10="*TEST",F493="",E493&lt;=30,G493&lt;=70),SUM(E493:G493),IF(AND(E10="*TEST",F493&lt;=20,E493&lt;=20,G493&lt;=60),SUM(E493:G493),IF(AND(E10="*TEST",F493="-",E493&lt;=20,G493&lt;=60),SUM(E493:G493),"ERROR"))))))</f>
        <v/>
      </c>
      <c r="I493" s="7" t="str">
        <f>IF(H493="ERROR","ERROR",IF(H493="","",IF(AND(F10="*LAB",F493="-"),"F",IF(H493&gt;69.5,"A",IF(H493&gt;59.5,"B",IF(H493&gt;49.5,"C",IF(AND(D10="*PROGRAM",H493&lt;49.5),"F",IF(H493&gt;44.5,"D",IF(H493&gt;39.5,"E","F")))))))))</f>
        <v/>
      </c>
      <c r="J493" s="7" t="str">
        <f t="shared" si="24"/>
        <v/>
      </c>
      <c r="K493" s="1"/>
    </row>
    <row r="494" ht="15.75" customHeight="1" spans="1:11">
      <c r="A494" s="7">
        <v>334</v>
      </c>
      <c r="B494" s="43"/>
      <c r="C494" s="7"/>
      <c r="D494" s="7" t="str">
        <f>IF(D11="","",IF(H494="","",D11))</f>
        <v/>
      </c>
      <c r="E494" s="7"/>
      <c r="F494" s="7"/>
      <c r="G494" s="7"/>
      <c r="H494" s="10" t="str">
        <f>IF(AND(E494="",F494="",G494=""),"",IF(SUM(E494:G494)&gt;100,"ERROR",IF(AND(E10="TEST",SUM(E494:G494)&lt;=100),SUM(E494:G494),IF(AND(E10="*TEST",F494="",E494&lt;=30,G494&lt;=70),SUM(E494:G494),IF(AND(E10="*TEST",F494&lt;=20,E494&lt;=20,G494&lt;=60),SUM(E494:G494),IF(AND(E10="*TEST",F494="-",E494&lt;=20,G494&lt;=60),SUM(E494:G494),"ERROR"))))))</f>
        <v/>
      </c>
      <c r="I494" s="7" t="str">
        <f>IF(H494="ERROR","ERROR",IF(H494="","",IF(AND(F10="*LAB",F494="-"),"F",IF(H494&gt;69.5,"A",IF(H494&gt;59.5,"B",IF(H494&gt;49.5,"C",IF(AND(D10="*PROGRAM",H494&lt;49.5),"F",IF(H494&gt;44.5,"D",IF(H494&gt;39.5,"E","F")))))))))</f>
        <v/>
      </c>
      <c r="J494" s="7" t="str">
        <f t="shared" si="24"/>
        <v/>
      </c>
      <c r="K494" s="1"/>
    </row>
    <row r="495" ht="15.75" customHeight="1" spans="1:11">
      <c r="A495" s="7">
        <v>335</v>
      </c>
      <c r="B495" s="43"/>
      <c r="C495" s="7"/>
      <c r="D495" s="7" t="str">
        <f>IF(D11="","",IF(H495="","",D11))</f>
        <v/>
      </c>
      <c r="E495" s="7"/>
      <c r="F495" s="7"/>
      <c r="G495" s="7"/>
      <c r="H495" s="10" t="str">
        <f>IF(AND(E495="",F495="",G495=""),"",IF(SUM(E495:G495)&gt;100,"ERROR",IF(AND(E10="TEST",SUM(E495:G495)&lt;=100),SUM(E495:G495),IF(AND(E10="*TEST",F495="",E495&lt;=30,G495&lt;=70),SUM(E495:G495),IF(AND(E10="*TEST",F495&lt;=20,E495&lt;=20,G495&lt;=60),SUM(E495:G495),IF(AND(E10="*TEST",F495="-",E495&lt;=20,G495&lt;=60),SUM(E495:G495),"ERROR"))))))</f>
        <v/>
      </c>
      <c r="I495" s="7" t="str">
        <f>IF(H495="ERROR","ERROR",IF(H495="","",IF(AND(F10="*LAB",F495="-"),"F",IF(H495&gt;69.5,"A",IF(H495&gt;59.5,"B",IF(H495&gt;49.5,"C",IF(AND(D10="*PROGRAM",H495&lt;49.5),"F",IF(H495&gt;44.5,"D",IF(H495&gt;39.5,"E","F")))))))))</f>
        <v/>
      </c>
      <c r="J495" s="7" t="str">
        <f t="shared" si="24"/>
        <v/>
      </c>
      <c r="K495" s="1"/>
    </row>
    <row r="496" ht="15.75" customHeight="1" spans="1:11">
      <c r="A496" s="7">
        <v>336</v>
      </c>
      <c r="B496" s="43"/>
      <c r="C496" s="7"/>
      <c r="D496" s="7" t="str">
        <f>IF(D11="","",IF(H496="","",D11))</f>
        <v/>
      </c>
      <c r="E496" s="7"/>
      <c r="F496" s="7"/>
      <c r="G496" s="7"/>
      <c r="H496" s="10" t="str">
        <f>IF(AND(E496="",F496="",G496=""),"",IF(SUM(E496:G496)&gt;100,"ERROR",IF(AND(E10="TEST",SUM(E496:G496)&lt;=100),SUM(E496:G496),IF(AND(E10="*TEST",F496="",E496&lt;=30,G496&lt;=70),SUM(E496:G496),IF(AND(E10="*TEST",F496&lt;=20,E496&lt;=20,G496&lt;=60),SUM(E496:G496),IF(AND(E10="*TEST",F496="-",E496&lt;=20,G496&lt;=60),SUM(E496:G496),"ERROR"))))))</f>
        <v/>
      </c>
      <c r="I496" s="7" t="str">
        <f>IF(H496="ERROR","ERROR",IF(H496="","",IF(AND(F10="*LAB",F496="-"),"F",IF(H496&gt;69.5,"A",IF(H496&gt;59.5,"B",IF(H496&gt;49.5,"C",IF(AND(D10="*PROGRAM",H496&lt;49.5),"F",IF(H496&gt;44.5,"D",IF(H496&gt;39.5,"E","F")))))))))</f>
        <v/>
      </c>
      <c r="J496" s="7" t="str">
        <f t="shared" si="24"/>
        <v/>
      </c>
      <c r="K496" s="1"/>
    </row>
    <row r="497" ht="15.75" customHeight="1" spans="1:11">
      <c r="A497" s="7">
        <v>337</v>
      </c>
      <c r="B497" s="43"/>
      <c r="C497" s="7"/>
      <c r="D497" s="7" t="str">
        <f>IF(D11="","",IF(H497="","",D11))</f>
        <v/>
      </c>
      <c r="E497" s="7"/>
      <c r="F497" s="7"/>
      <c r="G497" s="7"/>
      <c r="H497" s="10" t="str">
        <f>IF(AND(E497="",F497="",G497=""),"",IF(SUM(E497:G497)&gt;100,"ERROR",IF(AND(E10="TEST",SUM(E497:G497)&lt;=100),SUM(E497:G497),IF(AND(E10="*TEST",F497="",E497&lt;=30,G497&lt;=70),SUM(E497:G497),IF(AND(E10="*TEST",F497&lt;=20,E497&lt;=20,G497&lt;=60),SUM(E497:G497),IF(AND(E10="*TEST",F497="-",E497&lt;=20,G497&lt;=60),SUM(E497:G497),"ERROR"))))))</f>
        <v/>
      </c>
      <c r="I497" s="7" t="str">
        <f>IF(H497="ERROR","ERROR",IF(H497="","",IF(AND(F10="*LAB",F497="-"),"F",IF(H497&gt;69.5,"A",IF(H497&gt;59.5,"B",IF(H497&gt;49.5,"C",IF(AND(D10="*PROGRAM",H497&lt;49.5),"F",IF(H497&gt;44.5,"D",IF(H497&gt;39.5,"E","F")))))))))</f>
        <v/>
      </c>
      <c r="J497" s="7" t="str">
        <f t="shared" si="24"/>
        <v/>
      </c>
      <c r="K497" s="1"/>
    </row>
    <row r="498" ht="15.75" customHeight="1" spans="1:11">
      <c r="A498" s="7">
        <v>338</v>
      </c>
      <c r="B498" s="43"/>
      <c r="C498" s="7"/>
      <c r="D498" s="7" t="str">
        <f>IF(D11="","",IF(H498="","",D11))</f>
        <v/>
      </c>
      <c r="E498" s="7"/>
      <c r="F498" s="7"/>
      <c r="G498" s="7"/>
      <c r="H498" s="10" t="str">
        <f>IF(AND(E498="",F498="",G498=""),"",IF(SUM(E498:G498)&gt;100,"ERROR",IF(AND(E10="TEST",SUM(E498:G498)&lt;=100),SUM(E498:G498),IF(AND(E10="*TEST",F498="",E498&lt;=30,G498&lt;=70),SUM(E498:G498),IF(AND(E10="*TEST",F498&lt;=20,E498&lt;=20,G498&lt;=60),SUM(E498:G498),IF(AND(E10="*TEST",F498="-",E498&lt;=20,G498&lt;=60),SUM(E498:G498),"ERROR"))))))</f>
        <v/>
      </c>
      <c r="I498" s="7" t="str">
        <f>IF(H498="ERROR","ERROR",IF(H498="","",IF(AND(F10="*LAB",F498="-"),"F",IF(H498&gt;69.5,"A",IF(H498&gt;59.5,"B",IF(H498&gt;49.5,"C",IF(AND(D10="*PROGRAM",H498&lt;49.5),"F",IF(H498&gt;44.5,"D",IF(H498&gt;39.5,"E","F")))))))))</f>
        <v/>
      </c>
      <c r="J498" s="7" t="str">
        <f t="shared" si="24"/>
        <v/>
      </c>
      <c r="K498" s="1"/>
    </row>
    <row r="499" ht="15.75" customHeight="1" spans="1:11">
      <c r="A499" s="7">
        <v>339</v>
      </c>
      <c r="B499" s="43"/>
      <c r="C499" s="7"/>
      <c r="D499" s="7" t="str">
        <f>IF(D11="","",IF(H499="","",D11))</f>
        <v/>
      </c>
      <c r="E499" s="7"/>
      <c r="F499" s="7"/>
      <c r="G499" s="7"/>
      <c r="H499" s="10" t="str">
        <f>IF(AND(E499="",F499="",G499=""),"",IF(SUM(E499:G499)&gt;100,"ERROR",IF(AND(E10="TEST",SUM(E499:G499)&lt;=100),SUM(E499:G499),IF(AND(E10="*TEST",F499="",E499&lt;=30,G499&lt;=70),SUM(E499:G499),IF(AND(E10="*TEST",F499&lt;=20,E499&lt;=20,G499&lt;=60),SUM(E499:G499),IF(AND(E10="*TEST",F499="-",E499&lt;=20,G499&lt;=60),SUM(E499:G499),"ERROR"))))))</f>
        <v/>
      </c>
      <c r="I499" s="7" t="str">
        <f>IF(H499="ERROR","ERROR",IF(H499="","",IF(AND(F10="*LAB",F499="-"),"F",IF(H499&gt;69.5,"A",IF(H499&gt;59.5,"B",IF(H499&gt;49.5,"C",IF(AND(D10="*PROGRAM",H499&lt;49.5),"F",IF(H499&gt;44.5,"D",IF(H499&gt;39.5,"E","F")))))))))</f>
        <v/>
      </c>
      <c r="J499" s="7" t="str">
        <f t="shared" si="24"/>
        <v/>
      </c>
      <c r="K499" s="1"/>
    </row>
    <row r="500" ht="15.75" customHeight="1" spans="1:11">
      <c r="A500" s="7">
        <v>340</v>
      </c>
      <c r="B500" s="43"/>
      <c r="C500" s="7"/>
      <c r="D500" s="7" t="str">
        <f>IF(D11="","",IF(H500="","",D11))</f>
        <v/>
      </c>
      <c r="E500" s="7"/>
      <c r="F500" s="7"/>
      <c r="G500" s="7"/>
      <c r="H500" s="10" t="str">
        <f>IF(AND(E500="",F500="",G500=""),"",IF(SUM(E500:G500)&gt;100,"ERROR",IF(AND(E10="TEST",SUM(E500:G500)&lt;=100),SUM(E500:G500),IF(AND(E10="*TEST",F500="",E500&lt;=30,G500&lt;=70),SUM(E500:G500),IF(AND(E10="*TEST",F500&lt;=20,E500&lt;=20,G500&lt;=60),SUM(E500:G500),IF(AND(E10="*TEST",F500="-",E500&lt;=20,G500&lt;=60),SUM(E500:G500),"ERROR"))))))</f>
        <v/>
      </c>
      <c r="I500" s="7" t="str">
        <f>IF(H500="ERROR","ERROR",IF(H500="","",IF(AND(F10="*LAB",F500="-"),"F",IF(H500&gt;69.5,"A",IF(H500&gt;59.5,"B",IF(H500&gt;49.5,"C",IF(AND(D10="*PROGRAM",H500&lt;49.5),"F",IF(H500&gt;44.5,"D",IF(H500&gt;39.5,"E","F")))))))))</f>
        <v/>
      </c>
      <c r="J500" s="7" t="str">
        <f t="shared" si="24"/>
        <v/>
      </c>
      <c r="K500" s="1"/>
    </row>
    <row r="501" ht="15.75" customHeight="1" spans="1:11">
      <c r="A501" s="7">
        <v>341</v>
      </c>
      <c r="B501" s="43"/>
      <c r="C501" s="7"/>
      <c r="D501" s="7" t="str">
        <f>IF(D11="","",IF(H501="","",D11))</f>
        <v/>
      </c>
      <c r="E501" s="7"/>
      <c r="F501" s="7"/>
      <c r="G501" s="7"/>
      <c r="H501" s="10" t="str">
        <f>IF(AND(E501="",F501="",G501=""),"",IF(SUM(E501:G501)&gt;100,"ERROR",IF(AND(E10="TEST",SUM(E501:G501)&lt;=100),SUM(E501:G501),IF(AND(E10="*TEST",F501="",E501&lt;=30,G501&lt;=70),SUM(E501:G501),IF(AND(E10="*TEST",F501&lt;=20,E501&lt;=20,G501&lt;=60),SUM(E501:G501),IF(AND(E10="*TEST",F501="-",E501&lt;=20,G501&lt;=60),SUM(E501:G501),"ERROR"))))))</f>
        <v/>
      </c>
      <c r="I501" s="7" t="str">
        <f>IF(H501="ERROR","ERROR",IF(H501="","",IF(AND(F10="*LAB",F501="-"),"F",IF(H501&gt;69.5,"A",IF(H501&gt;59.5,"B",IF(H501&gt;49.5,"C",IF(AND(D10="*PROGRAM",H501&lt;49.5),"F",IF(H501&gt;44.5,"D",IF(H501&gt;39.5,"E","F")))))))))</f>
        <v/>
      </c>
      <c r="J501" s="7" t="str">
        <f t="shared" si="24"/>
        <v/>
      </c>
      <c r="K501" s="1"/>
    </row>
    <row r="502" ht="15.75" customHeight="1" spans="1:11">
      <c r="A502" s="7">
        <v>342</v>
      </c>
      <c r="B502" s="43"/>
      <c r="C502" s="7"/>
      <c r="D502" s="7" t="str">
        <f>IF(D11="","",IF(H502="","",D11))</f>
        <v/>
      </c>
      <c r="E502" s="7"/>
      <c r="F502" s="7"/>
      <c r="G502" s="7"/>
      <c r="H502" s="10" t="str">
        <f>IF(AND(E502="",F502="",G502=""),"",IF(SUM(E502:G502)&gt;100,"ERROR",IF(AND(E10="TEST",SUM(E502:G502)&lt;=100),SUM(E502:G502),IF(AND(E10="*TEST",F502="",E502&lt;=30,G502&lt;=70),SUM(E502:G502),IF(AND(E10="*TEST",F502&lt;=20,E502&lt;=20,G502&lt;=60),SUM(E502:G502),IF(AND(E10="*TEST",F502="-",E502&lt;=20,G502&lt;=60),SUM(E502:G502),"ERROR"))))))</f>
        <v/>
      </c>
      <c r="I502" s="7" t="str">
        <f>IF(H502="ERROR","ERROR",IF(H502="","",IF(AND(F10="*LAB",F502="-"),"F",IF(H502&gt;69.5,"A",IF(H502&gt;59.5,"B",IF(H502&gt;49.5,"C",IF(AND(D10="*PROGRAM",H502&lt;49.5),"F",IF(H502&gt;44.5,"D",IF(H502&gt;39.5,"E","F")))))))))</f>
        <v/>
      </c>
      <c r="J502" s="7" t="str">
        <f t="shared" si="24"/>
        <v/>
      </c>
      <c r="K502" s="1"/>
    </row>
    <row r="503" ht="15.75" customHeight="1" spans="1:11">
      <c r="A503" s="7">
        <v>343</v>
      </c>
      <c r="B503" s="43"/>
      <c r="C503" s="7"/>
      <c r="D503" s="7" t="str">
        <f>IF(D11="","",IF(H503="","",D11))</f>
        <v/>
      </c>
      <c r="E503" s="7"/>
      <c r="F503" s="7"/>
      <c r="G503" s="7"/>
      <c r="H503" s="10" t="str">
        <f>IF(AND(E503="",F503="",G503=""),"",IF(SUM(E503:G503)&gt;100,"ERROR",IF(AND(E10="TEST",SUM(E503:G503)&lt;=100),SUM(E503:G503),IF(AND(E10="*TEST",F503="",E503&lt;=30,G503&lt;=70),SUM(E503:G503),IF(AND(E10="*TEST",F503&lt;=20,E503&lt;=20,G503&lt;=60),SUM(E503:G503),IF(AND(E10="*TEST",F503="-",E503&lt;=20,G503&lt;=60),SUM(E503:G503),"ERROR"))))))</f>
        <v/>
      </c>
      <c r="I503" s="7" t="str">
        <f>IF(H503="ERROR","ERROR",IF(H503="","",IF(AND(F10="*LAB",F503="-"),"F",IF(H503&gt;69.5,"A",IF(H503&gt;59.5,"B",IF(H503&gt;49.5,"C",IF(AND(D10="*PROGRAM",H503&lt;49.5),"F",IF(H503&gt;44.5,"D",IF(H503&gt;39.5,"E","F")))))))))</f>
        <v/>
      </c>
      <c r="J503" s="7" t="str">
        <f t="shared" si="24"/>
        <v/>
      </c>
      <c r="K503" s="1"/>
    </row>
    <row r="504" ht="15.75" customHeight="1" spans="1:11">
      <c r="A504" s="7">
        <v>344</v>
      </c>
      <c r="B504" s="43"/>
      <c r="C504" s="7"/>
      <c r="D504" s="7" t="str">
        <f>IF(D11="","",IF(H504="","",D11))</f>
        <v/>
      </c>
      <c r="E504" s="7"/>
      <c r="F504" s="7"/>
      <c r="G504" s="7"/>
      <c r="H504" s="10" t="str">
        <f>IF(AND(E504="",F504="",G504=""),"",IF(SUM(E504:G504)&gt;100,"ERROR",IF(AND(E10="TEST",SUM(E504:G504)&lt;=100),SUM(E504:G504),IF(AND(E10="*TEST",F504="",E504&lt;=30,G504&lt;=70),SUM(E504:G504),IF(AND(E10="*TEST",F504&lt;=20,E504&lt;=20,G504&lt;=60),SUM(E504:G504),IF(AND(E10="*TEST",F504="-",E504&lt;=20,G504&lt;=60),SUM(E504:G504),"ERROR"))))))</f>
        <v/>
      </c>
      <c r="I504" s="7" t="str">
        <f>IF(H504="ERROR","ERROR",IF(H504="","",IF(AND(F10="*LAB",F504="-"),"F",IF(H504&gt;69.5,"A",IF(H504&gt;59.5,"B",IF(H504&gt;49.5,"C",IF(AND(D10="*PROGRAM",H504&lt;49.5),"F",IF(H504&gt;44.5,"D",IF(H504&gt;39.5,"E","F")))))))))</f>
        <v/>
      </c>
      <c r="J504" s="7" t="str">
        <f t="shared" si="24"/>
        <v/>
      </c>
      <c r="K504" s="1"/>
    </row>
    <row r="505" ht="15.75" customHeight="1" spans="1:11">
      <c r="A505" s="7">
        <v>345</v>
      </c>
      <c r="B505" s="43"/>
      <c r="C505" s="7"/>
      <c r="D505" s="7" t="str">
        <f>IF(D11="","",IF(H505="","",D11))</f>
        <v/>
      </c>
      <c r="E505" s="7"/>
      <c r="F505" s="7"/>
      <c r="G505" s="7"/>
      <c r="H505" s="10" t="str">
        <f>IF(AND(E505="",F505="",G505=""),"",IF(SUM(E505:G505)&gt;100,"ERROR",IF(AND(E10="TEST",SUM(E505:G505)&lt;=100),SUM(E505:G505),IF(AND(E10="*TEST",F505="",E505&lt;=30,G505&lt;=70),SUM(E505:G505),IF(AND(E10="*TEST",F505&lt;=20,E505&lt;=20,G505&lt;=60),SUM(E505:G505),IF(AND(E10="*TEST",F505="-",E505&lt;=20,G505&lt;=60),SUM(E505:G505),"ERROR"))))))</f>
        <v/>
      </c>
      <c r="I505" s="7" t="str">
        <f>IF(H505="ERROR","ERROR",IF(H505="","",IF(AND(F10="*LAB",F505="-"),"F",IF(H505&gt;69.5,"A",IF(H505&gt;59.5,"B",IF(H505&gt;49.5,"C",IF(AND(D10="*PROGRAM",H505&lt;49.5),"F",IF(H505&gt;44.5,"D",IF(H505&gt;39.5,"E","F")))))))))</f>
        <v/>
      </c>
      <c r="J505" s="7" t="str">
        <f t="shared" si="24"/>
        <v/>
      </c>
      <c r="K505" s="1"/>
    </row>
    <row r="506" ht="15.75" customHeight="1" spans="1:11">
      <c r="A506" s="7">
        <v>346</v>
      </c>
      <c r="B506" s="43"/>
      <c r="C506" s="7"/>
      <c r="D506" s="7" t="str">
        <f>IF(D11="","",IF(H506="","",D11))</f>
        <v/>
      </c>
      <c r="E506" s="7"/>
      <c r="F506" s="7"/>
      <c r="G506" s="7"/>
      <c r="H506" s="10" t="str">
        <f>IF(AND(E506="",F506="",G506=""),"",IF(SUM(E506:G506)&gt;100,"ERROR",IF(AND(E10="TEST",SUM(E506:G506)&lt;=100),SUM(E506:G506),IF(AND(E10="*TEST",F506="",E506&lt;=30,G506&lt;=70),SUM(E506:G506),IF(AND(E10="*TEST",F506&lt;=20,E506&lt;=20,G506&lt;=60),SUM(E506:G506),IF(AND(E10="*TEST",F506="-",E506&lt;=20,G506&lt;=60),SUM(E506:G506),"ERROR"))))))</f>
        <v/>
      </c>
      <c r="I506" s="7" t="str">
        <f>IF(H506="ERROR","ERROR",IF(H506="","",IF(AND(F10="*LAB",F506="-"),"F",IF(H506&gt;69.5,"A",IF(H506&gt;59.5,"B",IF(H506&gt;49.5,"C",IF(AND(D10="*PROGRAM",H506&lt;49.5),"F",IF(H506&gt;44.5,"D",IF(H506&gt;39.5,"E","F")))))))))</f>
        <v/>
      </c>
      <c r="J506" s="7" t="str">
        <f t="shared" si="24"/>
        <v/>
      </c>
      <c r="K506" s="1"/>
    </row>
    <row r="507" ht="15.75" customHeight="1" spans="1:11">
      <c r="A507" s="7">
        <v>347</v>
      </c>
      <c r="B507" s="43"/>
      <c r="C507" s="7"/>
      <c r="D507" s="7" t="str">
        <f>IF(D11="","",IF(H507="","",D11))</f>
        <v/>
      </c>
      <c r="E507" s="7"/>
      <c r="F507" s="7"/>
      <c r="G507" s="7"/>
      <c r="H507" s="10" t="str">
        <f>IF(AND(E507="",F507="",G507=""),"",IF(SUM(E507:G507)&gt;100,"ERROR",IF(AND(E10="TEST",SUM(E507:G507)&lt;=100),SUM(E507:G507),IF(AND(E10="*TEST",F507="",E507&lt;=30,G507&lt;=70),SUM(E507:G507),IF(AND(E10="*TEST",F507&lt;=20,E507&lt;=20,G507&lt;=60),SUM(E507:G507),IF(AND(E10="*TEST",F507="-",E507&lt;=20,G507&lt;=60),SUM(E507:G507),"ERROR"))))))</f>
        <v/>
      </c>
      <c r="I507" s="7" t="str">
        <f>IF(H507="ERROR","ERROR",IF(H507="","",IF(AND(F10="*LAB",F507="-"),"F",IF(H507&gt;69.5,"A",IF(H507&gt;59.5,"B",IF(H507&gt;49.5,"C",IF(AND(D10="*PROGRAM",H507&lt;49.5),"F",IF(H507&gt;44.5,"D",IF(H507&gt;39.5,"E","F")))))))))</f>
        <v/>
      </c>
      <c r="J507" s="7" t="str">
        <f t="shared" si="24"/>
        <v/>
      </c>
      <c r="K507" s="1"/>
    </row>
    <row r="508" ht="15.75" customHeight="1" spans="1:11">
      <c r="A508" s="7">
        <v>348</v>
      </c>
      <c r="B508" s="43"/>
      <c r="C508" s="7"/>
      <c r="D508" s="7" t="str">
        <f>IF(D11="","",IF(H508="","",D11))</f>
        <v/>
      </c>
      <c r="E508" s="7"/>
      <c r="F508" s="7"/>
      <c r="G508" s="7"/>
      <c r="H508" s="10" t="str">
        <f>IF(AND(E508="",F508="",G508=""),"",IF(SUM(E508:G508)&gt;100,"ERROR",IF(AND(E10="TEST",SUM(E508:G508)&lt;=100),SUM(E508:G508),IF(AND(E10="*TEST",F508="",E508&lt;=30,G508&lt;=70),SUM(E508:G508),IF(AND(E10="*TEST",F508&lt;=20,E508&lt;=20,G508&lt;=60),SUM(E508:G508),IF(AND(E10="*TEST",F508="-",E508&lt;=20,G508&lt;=60),SUM(E508:G508),"ERROR"))))))</f>
        <v/>
      </c>
      <c r="I508" s="7" t="str">
        <f>IF(H508="ERROR","ERROR",IF(H508="","",IF(AND(F10="*LAB",F508="-"),"F",IF(H508&gt;69.5,"A",IF(H508&gt;59.5,"B",IF(H508&gt;49.5,"C",IF(AND(D10="*PROGRAM",H508&lt;49.5),"F",IF(H508&gt;44.5,"D",IF(H508&gt;39.5,"E","F")))))))))</f>
        <v/>
      </c>
      <c r="J508" s="7" t="str">
        <f t="shared" si="24"/>
        <v/>
      </c>
      <c r="K508" s="1"/>
    </row>
    <row r="509" ht="15.75" customHeight="1" spans="1:11">
      <c r="A509" s="7">
        <v>349</v>
      </c>
      <c r="B509" s="43"/>
      <c r="C509" s="7"/>
      <c r="D509" s="7" t="str">
        <f>IF(D11="","",IF(H509="","",D11))</f>
        <v/>
      </c>
      <c r="E509" s="7"/>
      <c r="F509" s="7"/>
      <c r="G509" s="7"/>
      <c r="H509" s="10" t="str">
        <f>IF(AND(E509="",F509="",G509=""),"",IF(SUM(E509:G509)&gt;100,"ERROR",IF(AND(E10="TEST",SUM(E509:G509)&lt;=100),SUM(E509:G509),IF(AND(E10="*TEST",F509="",E509&lt;=30,G509&lt;=70),SUM(E509:G509),IF(AND(E10="*TEST",F509&lt;=20,E509&lt;=20,G509&lt;=60),SUM(E509:G509),IF(AND(E10="*TEST",F509="-",E509&lt;=20,G509&lt;=60),SUM(E509:G509),"ERROR"))))))</f>
        <v/>
      </c>
      <c r="I509" s="7" t="str">
        <f>IF(H509="ERROR","ERROR",IF(H509="","",IF(AND(F10="*LAB",F509="-"),"F",IF(H509&gt;69.5,"A",IF(H509&gt;59.5,"B",IF(H509&gt;49.5,"C",IF(AND(D10="*PROGRAM",H509&lt;49.5),"F",IF(H509&gt;44.5,"D",IF(H509&gt;39.5,"E","F")))))))))</f>
        <v/>
      </c>
      <c r="J509" s="7" t="str">
        <f t="shared" si="24"/>
        <v/>
      </c>
      <c r="K509" s="1"/>
    </row>
    <row r="510" ht="15.75" customHeight="1" spans="1:11">
      <c r="A510" s="7">
        <v>350</v>
      </c>
      <c r="B510" s="43"/>
      <c r="C510" s="7"/>
      <c r="D510" s="7" t="str">
        <f>IF(D11="","",IF(H510="","",D11))</f>
        <v/>
      </c>
      <c r="E510" s="7"/>
      <c r="F510" s="7"/>
      <c r="G510" s="7"/>
      <c r="H510" s="10" t="str">
        <f>IF(AND(E510="",F510="",G510=""),"",IF(SUM(E510:G510)&gt;100,"ERROR",IF(AND(E10="TEST",SUM(E510:G510)&lt;=100),SUM(E510:G510),IF(AND(E10="*TEST",F510="",E510&lt;=30,G510&lt;=70),SUM(E510:G510),IF(AND(E10="*TEST",F510&lt;=20,E510&lt;=20,G510&lt;=60),SUM(E510:G510),IF(AND(E10="*TEST",F510="-",E510&lt;=20,G510&lt;=60),SUM(E510:G510),"ERROR"))))))</f>
        <v/>
      </c>
      <c r="I510" s="7" t="str">
        <f>IF(H510="ERROR","ERROR",IF(H510="","",IF(AND(F10="*LAB",F510="-"),"F",IF(H510&gt;69.5,"A",IF(H510&gt;59.5,"B",IF(H510&gt;49.5,"C",IF(AND(D10="*PROGRAM",H510&lt;49.5),"F",IF(H510&gt;44.5,"D",IF(H510&gt;39.5,"E","F")))))))))</f>
        <v/>
      </c>
      <c r="J510" s="7" t="str">
        <f t="shared" si="24"/>
        <v/>
      </c>
      <c r="K510" s="1"/>
    </row>
    <row r="511" ht="15.75" customHeight="1" spans="1:11">
      <c r="A511" s="7">
        <v>351</v>
      </c>
      <c r="B511" s="43"/>
      <c r="C511" s="7"/>
      <c r="D511" s="7" t="str">
        <f>IF(D11="","",IF(H511="","",D11))</f>
        <v/>
      </c>
      <c r="E511" s="7"/>
      <c r="F511" s="7"/>
      <c r="G511" s="7"/>
      <c r="H511" s="10" t="str">
        <f>IF(AND(E511="",F511="",G511=""),"",IF(SUM(E511:G511)&gt;100,"ERROR",IF(AND(E10="TEST",SUM(E511:G511)&lt;=100),SUM(E511:G511),IF(AND(E10="*TEST",F511="",E511&lt;=30,G511&lt;=70),SUM(E511:G511),IF(AND(E10="*TEST",F511&lt;=20,E511&lt;=20,G511&lt;=60),SUM(E511:G511),IF(AND(E10="*TEST",F511="-",E511&lt;=20,G511&lt;=60),SUM(E511:G511),"ERROR"))))))</f>
        <v/>
      </c>
      <c r="I511" s="7" t="str">
        <f>IF(H511="ERROR","ERROR",IF(H511="","",IF(AND(F10="*LAB",F511="-"),"F",IF(H511&gt;69.5,"A",IF(H511&gt;59.5,"B",IF(H511&gt;49.5,"C",IF(AND(D10="*PROGRAM",H511&lt;49.5),"F",IF(H511&gt;44.5,"D",IF(H511&gt;39.5,"E","F")))))))))</f>
        <v/>
      </c>
      <c r="J511" s="7" t="str">
        <f t="shared" si="24"/>
        <v/>
      </c>
      <c r="K511" s="1"/>
    </row>
    <row r="512" ht="15.75" customHeight="1" spans="1:11">
      <c r="A512" s="7">
        <v>352</v>
      </c>
      <c r="B512" s="43"/>
      <c r="C512" s="7"/>
      <c r="D512" s="7" t="str">
        <f>IF(D11="","",IF(H512="","",D11))</f>
        <v/>
      </c>
      <c r="E512" s="7"/>
      <c r="F512" s="7"/>
      <c r="G512" s="7"/>
      <c r="H512" s="10" t="str">
        <f>IF(AND(E512="",F512="",G512=""),"",IF(SUM(E512:G512)&gt;100,"ERROR",IF(AND(E10="TEST",SUM(E512:G512)&lt;=100),SUM(E512:G512),IF(AND(E10="*TEST",F512="",E512&lt;=30,G512&lt;=70),SUM(E512:G512),IF(AND(E10="*TEST",F512&lt;=20,E512&lt;=20,G512&lt;=60),SUM(E512:G512),IF(AND(E10="*TEST",F512="-",E512&lt;=20,G512&lt;=60),SUM(E512:G512),"ERROR"))))))</f>
        <v/>
      </c>
      <c r="I512" s="7" t="str">
        <f>IF(H512="ERROR","ERROR",IF(H512="","",IF(AND(F10="*LAB",F512="-"),"F",IF(H512&gt;69.5,"A",IF(H512&gt;59.5,"B",IF(H512&gt;49.5,"C",IF(AND(D10="*PROGRAM",H512&lt;49.5),"F",IF(H512&gt;44.5,"D",IF(H512&gt;39.5,"E","F")))))))))</f>
        <v/>
      </c>
      <c r="J512" s="7" t="str">
        <f t="shared" si="24"/>
        <v/>
      </c>
      <c r="K512" s="1"/>
    </row>
    <row r="513" ht="15.75" customHeight="1" spans="1:11">
      <c r="A513" s="7">
        <v>353</v>
      </c>
      <c r="B513" s="43"/>
      <c r="C513" s="7"/>
      <c r="D513" s="7" t="str">
        <f>IF(D11="","",IF(H513="","",D11))</f>
        <v/>
      </c>
      <c r="E513" s="7"/>
      <c r="F513" s="7"/>
      <c r="G513" s="7"/>
      <c r="H513" s="10" t="str">
        <f>IF(AND(E513="",F513="",G513=""),"",IF(SUM(E513:G513)&gt;100,"ERROR",IF(AND(E10="TEST",SUM(E513:G513)&lt;=100),SUM(E513:G513),IF(AND(E10="*TEST",F513="",E513&lt;=30,G513&lt;=70),SUM(E513:G513),IF(AND(E10="*TEST",F513&lt;=20,E513&lt;=20,G513&lt;=60),SUM(E513:G513),IF(AND(E10="*TEST",F513="-",E513&lt;=20,G513&lt;=60),SUM(E513:G513),"ERROR"))))))</f>
        <v/>
      </c>
      <c r="I513" s="7" t="str">
        <f>IF(H513="ERROR","ERROR",IF(H513="","",IF(AND(F10="*LAB",F513="-"),"F",IF(H513&gt;69.5,"A",IF(H513&gt;59.5,"B",IF(H513&gt;49.5,"C",IF(AND(D10="*PROGRAM",H513&lt;49.5),"F",IF(H513&gt;44.5,"D",IF(H513&gt;39.5,"E","F")))))))))</f>
        <v/>
      </c>
      <c r="J513" s="7" t="str">
        <f t="shared" si="24"/>
        <v/>
      </c>
      <c r="K513" s="1"/>
    </row>
    <row r="514" ht="15.75" customHeight="1" spans="1:11">
      <c r="A514" s="7">
        <v>354</v>
      </c>
      <c r="B514" s="43"/>
      <c r="C514" s="7"/>
      <c r="D514" s="7" t="str">
        <f>IF(D11="","",IF(H514="","",D11))</f>
        <v/>
      </c>
      <c r="E514" s="7"/>
      <c r="F514" s="7"/>
      <c r="G514" s="7"/>
      <c r="H514" s="10" t="str">
        <f>IF(AND(E514="",F514="",G514=""),"",IF(SUM(E514:G514)&gt;100,"ERROR",IF(AND(E10="TEST",SUM(E514:G514)&lt;=100),SUM(E514:G514),IF(AND(E10="*TEST",F514="",E514&lt;=30,G514&lt;=70),SUM(E514:G514),IF(AND(E10="*TEST",F514&lt;=20,E514&lt;=20,G514&lt;=60),SUM(E514:G514),IF(AND(E10="*TEST",F514="-",E514&lt;=20,G514&lt;=60),SUM(E514:G514),"ERROR"))))))</f>
        <v/>
      </c>
      <c r="I514" s="7" t="str">
        <f>IF(H514="ERROR","ERROR",IF(H514="","",IF(AND(F10="*LAB",F514="-"),"F",IF(H514&gt;69.5,"A",IF(H514&gt;59.5,"B",IF(H514&gt;49.5,"C",IF(AND(D10="*PROGRAM",H514&lt;49.5),"F",IF(H514&gt;44.5,"D",IF(H514&gt;39.5,"E","F")))))))))</f>
        <v/>
      </c>
      <c r="J514" s="7" t="str">
        <f t="shared" si="24"/>
        <v/>
      </c>
      <c r="K514" s="1"/>
    </row>
    <row r="515" ht="15.75" customHeight="1" spans="1:11">
      <c r="A515" s="7">
        <v>355</v>
      </c>
      <c r="B515" s="43"/>
      <c r="C515" s="7"/>
      <c r="D515" s="7" t="str">
        <f>IF(D11="","",IF(H515="","",D11))</f>
        <v/>
      </c>
      <c r="E515" s="7"/>
      <c r="F515" s="7"/>
      <c r="G515" s="7"/>
      <c r="H515" s="10" t="str">
        <f>IF(AND(E515="",F515="",G515=""),"",IF(SUM(E515:G515)&gt;100,"ERROR",IF(AND(E10="TEST",SUM(E515:G515)&lt;=100),SUM(E515:G515),IF(AND(E10="*TEST",F515="",E515&lt;=30,G515&lt;=70),SUM(E515:G515),IF(AND(E10="*TEST",F515&lt;=20,E515&lt;=20,G515&lt;=60),SUM(E515:G515),IF(AND(E10="*TEST",F515="-",E515&lt;=20,G515&lt;=60),SUM(E515:G515),"ERROR"))))))</f>
        <v/>
      </c>
      <c r="I515" s="7" t="str">
        <f>IF(H515="ERROR","ERROR",IF(H515="","",IF(AND(F10="*LAB",F515="-"),"F",IF(H515&gt;69.5,"A",IF(H515&gt;59.5,"B",IF(H515&gt;49.5,"C",IF(AND(D10="*PROGRAM",H515&lt;49.5),"F",IF(H515&gt;44.5,"D",IF(H515&gt;39.5,"E","F")))))))))</f>
        <v/>
      </c>
      <c r="J515" s="7" t="str">
        <f t="shared" si="24"/>
        <v/>
      </c>
      <c r="K515" s="1"/>
    </row>
    <row r="516" ht="15.75" customHeight="1" spans="1:11">
      <c r="A516" s="7">
        <v>356</v>
      </c>
      <c r="B516" s="43"/>
      <c r="C516" s="7"/>
      <c r="D516" s="7" t="str">
        <f>IF(D11="","",IF(H516="","",D11))</f>
        <v/>
      </c>
      <c r="E516" s="7"/>
      <c r="F516" s="7"/>
      <c r="G516" s="7"/>
      <c r="H516" s="10" t="str">
        <f>IF(AND(E516="",F516="",G516=""),"",IF(SUM(E516:G516)&gt;100,"ERROR",IF(AND(E10="TEST",SUM(E516:G516)&lt;=100),SUM(E516:G516),IF(AND(E10="*TEST",F516="",E516&lt;=30,G516&lt;=70),SUM(E516:G516),IF(AND(E10="*TEST",F516&lt;=20,E516&lt;=20,G516&lt;=60),SUM(E516:G516),IF(AND(E10="*TEST",F516="-",E516&lt;=20,G516&lt;=60),SUM(E516:G516),"ERROR"))))))</f>
        <v/>
      </c>
      <c r="I516" s="7" t="str">
        <f>IF(H516="ERROR","ERROR",IF(H516="","",IF(AND(F10="*LAB",F516="-"),"F",IF(H516&gt;69.5,"A",IF(H516&gt;59.5,"B",IF(H516&gt;49.5,"C",IF(AND(D10="*PROGRAM",H516&lt;49.5),"F",IF(H516&gt;44.5,"D",IF(H516&gt;39.5,"E","F")))))))))</f>
        <v/>
      </c>
      <c r="J516" s="7" t="str">
        <f t="shared" si="24"/>
        <v/>
      </c>
      <c r="K516" s="1"/>
    </row>
    <row r="517" ht="15.75" customHeight="1" spans="1:11">
      <c r="A517" s="7">
        <v>357</v>
      </c>
      <c r="B517" s="43"/>
      <c r="C517" s="7"/>
      <c r="D517" s="7" t="str">
        <f>IF(D11="","",IF(H517="","",D11))</f>
        <v/>
      </c>
      <c r="E517" s="7"/>
      <c r="F517" s="7"/>
      <c r="G517" s="7"/>
      <c r="H517" s="10" t="str">
        <f>IF(AND(E517="",F517="",G517=""),"",IF(SUM(E517:G517)&gt;100,"ERROR",IF(AND(E10="TEST",SUM(E517:G517)&lt;=100),SUM(E517:G517),IF(AND(E10="*TEST",F517="",E517&lt;=30,G517&lt;=70),SUM(E517:G517),IF(AND(E10="*TEST",F517&lt;=20,E517&lt;=20,G517&lt;=60),SUM(E517:G517),IF(AND(E10="*TEST",F517="-",E517&lt;=20,G517&lt;=60),SUM(E517:G517),"ERROR"))))))</f>
        <v/>
      </c>
      <c r="I517" s="7" t="str">
        <f>IF(H517="ERROR","ERROR",IF(H517="","",IF(AND(F10="*LAB",F517="-"),"F",IF(H517&gt;69.5,"A",IF(H517&gt;59.5,"B",IF(H517&gt;49.5,"C",IF(AND(D10="*PROGRAM",H517&lt;49.5),"F",IF(H517&gt;44.5,"D",IF(H517&gt;39.5,"E","F")))))))))</f>
        <v/>
      </c>
      <c r="J517" s="7" t="str">
        <f t="shared" si="24"/>
        <v/>
      </c>
      <c r="K517" s="1"/>
    </row>
    <row r="518" ht="15.75" customHeight="1" spans="1:11">
      <c r="A518" s="7">
        <v>358</v>
      </c>
      <c r="B518" s="43"/>
      <c r="C518" s="7"/>
      <c r="D518" s="7" t="str">
        <f>IF(D11="","",IF(H518="","",D11))</f>
        <v/>
      </c>
      <c r="E518" s="7"/>
      <c r="F518" s="7"/>
      <c r="G518" s="7"/>
      <c r="H518" s="10" t="str">
        <f>IF(AND(E518="",F518="",G518=""),"",IF(SUM(E518:G518)&gt;100,"ERROR",IF(AND(E10="TEST",SUM(E518:G518)&lt;=100),SUM(E518:G518),IF(AND(E10="*TEST",F518="",E518&lt;=30,G518&lt;=70),SUM(E518:G518),IF(AND(E10="*TEST",F518&lt;=20,E518&lt;=20,G518&lt;=60),SUM(E518:G518),IF(AND(E10="*TEST",F518="-",E518&lt;=20,G518&lt;=60),SUM(E518:G518),"ERROR"))))))</f>
        <v/>
      </c>
      <c r="I518" s="7" t="str">
        <f>IF(H518="ERROR","ERROR",IF(H518="","",IF(AND(F10="*LAB",F518="-"),"F",IF(H518&gt;69.5,"A",IF(H518&gt;59.5,"B",IF(H518&gt;49.5,"C",IF(AND(D10="*PROGRAM",H518&lt;49.5),"F",IF(H518&gt;44.5,"D",IF(H518&gt;39.5,"E","F")))))))))</f>
        <v/>
      </c>
      <c r="J518" s="7" t="str">
        <f t="shared" si="24"/>
        <v/>
      </c>
      <c r="K518" s="1"/>
    </row>
    <row r="519" ht="15.75" customHeight="1" spans="1:11">
      <c r="A519" s="7">
        <v>359</v>
      </c>
      <c r="B519" s="43"/>
      <c r="C519" s="7"/>
      <c r="D519" s="7" t="str">
        <f>IF(D11="","",IF(H519="","",D11))</f>
        <v/>
      </c>
      <c r="E519" s="7"/>
      <c r="F519" s="7"/>
      <c r="G519" s="7"/>
      <c r="H519" s="10" t="str">
        <f>IF(AND(E519="",F519="",G519=""),"",IF(SUM(E519:G519)&gt;100,"ERROR",IF(AND(E10="TEST",SUM(E519:G519)&lt;=100),SUM(E519:G519),IF(AND(E10="*TEST",F519="",E519&lt;=30,G519&lt;=70),SUM(E519:G519),IF(AND(E10="*TEST",F519&lt;=20,E519&lt;=20,G519&lt;=60),SUM(E519:G519),IF(AND(E10="*TEST",F519="-",E519&lt;=20,G519&lt;=60),SUM(E519:G519),"ERROR"))))))</f>
        <v/>
      </c>
      <c r="I519" s="7" t="str">
        <f>IF(H519="ERROR","ERROR",IF(H519="","",IF(AND(F10="*LAB",F519="-"),"F",IF(H519&gt;69.5,"A",IF(H519&gt;59.5,"B",IF(H519&gt;49.5,"C",IF(AND(D10="*PROGRAM",H519&lt;49.5),"F",IF(H519&gt;44.5,"D",IF(H519&gt;39.5,"E","F")))))))))</f>
        <v/>
      </c>
      <c r="J519" s="7" t="str">
        <f t="shared" si="24"/>
        <v/>
      </c>
      <c r="K519" s="1"/>
    </row>
    <row r="520" ht="15.75" customHeight="1" spans="1:11">
      <c r="A520" s="7">
        <v>360</v>
      </c>
      <c r="B520" s="43"/>
      <c r="C520" s="7"/>
      <c r="D520" s="7" t="str">
        <f>IF(D11="","",IF(H520="","",D11))</f>
        <v/>
      </c>
      <c r="E520" s="7"/>
      <c r="F520" s="7"/>
      <c r="G520" s="7"/>
      <c r="H520" s="10" t="str">
        <f>IF(AND(E520="",F520="",G520=""),"",IF(SUM(E520:G520)&gt;100,"ERROR",IF(AND(E10="TEST",SUM(E520:G520)&lt;=100),SUM(E520:G520),IF(AND(E10="*TEST",F520="",E520&lt;=30,G520&lt;=70),SUM(E520:G520),IF(AND(E10="*TEST",F520&lt;=20,E520&lt;=20,G520&lt;=60),SUM(E520:G520),IF(AND(E10="*TEST",F520="-",E520&lt;=20,G520&lt;=60),SUM(E520:G520),"ERROR"))))))</f>
        <v/>
      </c>
      <c r="I520" s="7" t="str">
        <f>IF(H520="ERROR","ERROR",IF(H520="","",IF(AND(F10="*LAB",F520="-"),"F",IF(H520&gt;69.5,"A",IF(H520&gt;59.5,"B",IF(H520&gt;49.5,"C",IF(AND(D10="*PROGRAM",H520&lt;49.5),"F",IF(H520&gt;44.5,"D",IF(H520&gt;39.5,"E","F")))))))))</f>
        <v/>
      </c>
      <c r="J520" s="7" t="str">
        <f t="shared" si="24"/>
        <v/>
      </c>
      <c r="K520" s="1"/>
    </row>
    <row r="521" ht="24.75" customHeight="1" spans="1:11">
      <c r="A521" s="1"/>
      <c r="B521" s="44"/>
      <c r="C521" s="1"/>
      <c r="D521" s="1"/>
      <c r="E521" s="1"/>
      <c r="F521" s="1"/>
      <c r="G521" s="13"/>
      <c r="H521" s="14"/>
      <c r="I521" s="14"/>
      <c r="J521" s="14"/>
      <c r="K521" s="1"/>
    </row>
    <row r="522" ht="15.75" customHeight="1" spans="1:11">
      <c r="A522" s="1"/>
      <c r="B522" s="15" t="s">
        <v>60</v>
      </c>
      <c r="C522" s="13"/>
      <c r="D522" s="13"/>
      <c r="E522" s="13"/>
      <c r="F522" s="13"/>
      <c r="G522" s="16" t="s">
        <v>61</v>
      </c>
      <c r="H522" s="17"/>
      <c r="I522" s="17"/>
      <c r="J522" s="17"/>
      <c r="K522" s="1"/>
    </row>
    <row r="523" ht="15.75" customHeight="1" spans="1:11">
      <c r="A523" s="1" t="str">
        <f>IF(AND(I540="",I481&lt;&gt;""),A889,"")</f>
        <v/>
      </c>
      <c r="B523" s="2" t="str">
        <f>IF(A523="","",B889)</f>
        <v/>
      </c>
      <c r="C523" s="16" t="s">
        <v>62</v>
      </c>
      <c r="D523" s="17"/>
      <c r="E523" s="17"/>
      <c r="F523" s="17"/>
      <c r="G523" s="1"/>
      <c r="H523" s="1"/>
      <c r="I523" s="1"/>
      <c r="J523" s="1"/>
      <c r="K523" s="1"/>
    </row>
    <row r="524" ht="15.75" customHeight="1" spans="1:11">
      <c r="A524" s="1" t="str">
        <f>IF(A523="","",A890)</f>
        <v/>
      </c>
      <c r="B524" s="2" t="str">
        <f>IF(A523="","",B890)</f>
        <v/>
      </c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 spans="1:11">
      <c r="A525" s="1" t="str">
        <f>IF(A523="","",A891)</f>
        <v/>
      </c>
      <c r="B525" s="2" t="str">
        <f>IF(A523="","",B891)</f>
        <v/>
      </c>
      <c r="C525" s="18" t="s">
        <v>63</v>
      </c>
      <c r="D525" s="17"/>
      <c r="E525" s="17"/>
      <c r="F525" s="17"/>
      <c r="G525" s="17"/>
      <c r="H525" s="17"/>
      <c r="I525" s="17"/>
      <c r="J525" s="24"/>
      <c r="K525" s="1"/>
    </row>
    <row r="526" ht="15.75" customHeight="1" spans="1:11">
      <c r="A526" s="1" t="str">
        <f>IF(A523="","",A892)</f>
        <v/>
      </c>
      <c r="B526" s="2" t="str">
        <f>IF(A523="","",B892)</f>
        <v/>
      </c>
      <c r="C526" s="19" t="s">
        <v>64</v>
      </c>
      <c r="F526" s="15"/>
      <c r="G526" s="15" t="s">
        <v>65</v>
      </c>
      <c r="J526" s="25"/>
      <c r="K526" s="1"/>
    </row>
    <row r="527" ht="15.75" customHeight="1" spans="1:11">
      <c r="A527" s="1" t="str">
        <f>IF(A523="","",A893)</f>
        <v/>
      </c>
      <c r="B527" s="2" t="str">
        <f>IF(A523="","",B893)</f>
        <v/>
      </c>
      <c r="C527" s="19" t="s">
        <v>66</v>
      </c>
      <c r="F527" s="15"/>
      <c r="G527" s="15" t="s">
        <v>67</v>
      </c>
      <c r="J527" s="25"/>
      <c r="K527" s="1"/>
    </row>
    <row r="528" ht="15.75" customHeight="1" spans="1:11">
      <c r="A528" s="1" t="str">
        <f>IF(A523="","",A894)</f>
        <v/>
      </c>
      <c r="B528" s="2" t="str">
        <f>IF(A523="","",B894)</f>
        <v/>
      </c>
      <c r="C528" s="20" t="s">
        <v>68</v>
      </c>
      <c r="D528" s="14"/>
      <c r="E528" s="14"/>
      <c r="F528" s="21"/>
      <c r="G528" s="21" t="s">
        <v>69</v>
      </c>
      <c r="H528" s="14"/>
      <c r="I528" s="14"/>
      <c r="J528" s="26"/>
      <c r="K528" s="1"/>
    </row>
    <row r="529" ht="15.75" customHeight="1" spans="1:11">
      <c r="A529" s="1" t="str">
        <f>IF(A523="","",A895)</f>
        <v/>
      </c>
      <c r="B529" s="22" t="str">
        <f>IF(A523="","",B895)</f>
        <v/>
      </c>
      <c r="C529" s="1"/>
      <c r="D529" s="1"/>
      <c r="E529" s="1"/>
      <c r="F529" s="1"/>
      <c r="G529" s="1"/>
      <c r="H529" s="1"/>
      <c r="I529" s="1"/>
      <c r="J529" s="27" t="s">
        <v>181</v>
      </c>
      <c r="K529" s="1"/>
    </row>
    <row r="530" ht="15.75" customHeight="1" spans="1:11">
      <c r="A530" s="23"/>
      <c r="B530" s="23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 spans="1:11">
      <c r="A531" s="1"/>
      <c r="B531" s="3" t="s">
        <v>0</v>
      </c>
      <c r="K531" s="1"/>
    </row>
    <row r="532" ht="15.75" customHeight="1" spans="1:11">
      <c r="A532" s="1"/>
      <c r="B532" s="4" t="s">
        <v>1</v>
      </c>
      <c r="K532" s="1"/>
    </row>
    <row r="533" ht="15.75" customHeight="1" spans="1:1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 spans="1:11">
      <c r="A534" s="2" t="str">
        <f t="shared" ref="A534:A537" si="25">A5</f>
        <v>School of Student: SEET</v>
      </c>
      <c r="D534" s="1"/>
      <c r="E534" s="5">
        <f t="shared" ref="E534:E537" si="26">E5</f>
        <v>0</v>
      </c>
      <c r="K534" s="1"/>
    </row>
    <row r="535" ht="15.75" customHeight="1" spans="1:11">
      <c r="A535" s="2" t="str">
        <f t="shared" si="25"/>
        <v>Department: BIOMEDICAL ENGINEERING</v>
      </c>
      <c r="D535" s="1"/>
      <c r="E535" s="5" t="str">
        <f t="shared" si="26"/>
        <v>Session: ---------------------------------</v>
      </c>
      <c r="K535" s="1"/>
    </row>
    <row r="536" ht="15.75" customHeight="1" spans="1:11">
      <c r="A536" s="2" t="str">
        <f t="shared" si="25"/>
        <v>Title of Course: ------------------------</v>
      </c>
      <c r="D536" s="1"/>
      <c r="E536" s="5" t="str">
        <f t="shared" si="26"/>
        <v>Course Code: -------------------------</v>
      </c>
      <c r="K536" s="1"/>
    </row>
    <row r="537" ht="15.75" customHeight="1" spans="1:11">
      <c r="A537" s="2" t="str">
        <f t="shared" si="25"/>
        <v>School Offering Course: ----------------------------</v>
      </c>
      <c r="D537" s="1"/>
      <c r="E537" s="5" t="str">
        <f t="shared" si="26"/>
        <v>Date: -----------------------------</v>
      </c>
      <c r="K537" s="1"/>
    </row>
    <row r="538" ht="15.75" customHeight="1" spans="1:11">
      <c r="A538" s="1"/>
      <c r="B538" s="2"/>
      <c r="C538" s="1"/>
      <c r="D538" s="5"/>
      <c r="E538" s="5"/>
      <c r="F538" s="5"/>
      <c r="G538" s="5"/>
      <c r="H538" s="5"/>
      <c r="I538" s="5"/>
      <c r="J538" s="5"/>
      <c r="K538" s="1"/>
    </row>
    <row r="539" ht="15.75" customHeight="1" spans="1:11">
      <c r="A539" s="6" t="s">
        <v>9</v>
      </c>
      <c r="B539" s="6" t="s">
        <v>10</v>
      </c>
      <c r="C539" s="6" t="s">
        <v>11</v>
      </c>
      <c r="D539" s="6" t="s">
        <v>12</v>
      </c>
      <c r="E539" s="6" t="s">
        <v>13</v>
      </c>
      <c r="F539" s="6" t="s">
        <v>14</v>
      </c>
      <c r="G539" s="6" t="s">
        <v>15</v>
      </c>
      <c r="H539" s="6" t="s">
        <v>16</v>
      </c>
      <c r="I539" s="6" t="s">
        <v>17</v>
      </c>
      <c r="J539" s="6" t="s">
        <v>18</v>
      </c>
      <c r="K539" s="1"/>
    </row>
    <row r="540" ht="15.75" customHeight="1" spans="1:11">
      <c r="A540" s="7">
        <v>361</v>
      </c>
      <c r="B540" s="43"/>
      <c r="C540" s="7"/>
      <c r="D540" s="7" t="str">
        <f>IF(D11="","",IF(H540="","",D11))</f>
        <v/>
      </c>
      <c r="E540" s="7"/>
      <c r="F540" s="7"/>
      <c r="G540" s="7"/>
      <c r="H540" s="10" t="str">
        <f>IF(AND(E540="",F540="",G540=""),"",IF(SUM(E540:G540)&gt;100,"ERROR",IF(AND(E10="TEST",SUM(E540:G540)&lt;=100),SUM(E540:G540),IF(AND(E10="*TEST",F540="",E540&lt;=30,G540&lt;=70),SUM(E540:G540),IF(AND(E10="*TEST",F540&lt;=20,E540&lt;=20,G540&lt;=60),SUM(E540:G540),IF(AND(E10="*TEST",F540="-",E540&lt;=20,G540&lt;=60),SUM(E540:G540),"ERROR"))))))</f>
        <v/>
      </c>
      <c r="I540" s="7" t="str">
        <f>IF(H540="ERROR","ERROR",IF(H540="","",IF(AND(F10="*LAB",F540="-"),"F",IF(H540&gt;69.5,"A",IF(H540&gt;59.5,"B",IF(H540&gt;49.5,"C",IF(AND(D10="*PROGRAM",H540&lt;49.5),"F",IF(H540&gt;44.5,"D",IF(H540&gt;39.5,"E","F")))))))))</f>
        <v/>
      </c>
      <c r="J540" s="7" t="str">
        <f t="shared" ref="J540:J579" si="27">IF(H540="ERROR","ERROR",IF(I540="","",IF(I540="F","FAIL","PASS")))</f>
        <v/>
      </c>
      <c r="K540" s="1"/>
    </row>
    <row r="541" ht="15.75" customHeight="1" spans="1:11">
      <c r="A541" s="7">
        <v>362</v>
      </c>
      <c r="B541" s="43"/>
      <c r="C541" s="7"/>
      <c r="D541" s="7" t="str">
        <f>IF(D11="","",IF(H541="","",D11))</f>
        <v/>
      </c>
      <c r="E541" s="7"/>
      <c r="F541" s="7"/>
      <c r="G541" s="7"/>
      <c r="H541" s="10" t="str">
        <f>IF(AND(E541="",F541="",G541=""),"",IF(SUM(E541:G541)&gt;100,"ERROR",IF(AND(E10="TEST",SUM(E541:G541)&lt;=100),SUM(E541:G541),IF(AND(E10="*TEST",F541="",E541&lt;=30,G541&lt;=70),SUM(E541:G541),IF(AND(E10="*TEST",F541&lt;=20,E541&lt;=20,G541&lt;=60),SUM(E541:G541),IF(AND(E10="*TEST",F541="-",E541&lt;=20,G541&lt;=60),SUM(E541:G541),"ERROR"))))))</f>
        <v/>
      </c>
      <c r="I541" s="7" t="str">
        <f>IF(H541="ERROR","ERROR",IF(H541="","",IF(AND(F10="*LAB",F541="-"),"F",IF(H541&gt;69.5,"A",IF(H541&gt;59.5,"B",IF(H541&gt;49.5,"C",IF(AND(D10="*PROGRAM",H541&lt;49.5),"F",IF(H541&gt;44.5,"D",IF(H541&gt;39.5,"E","F")))))))))</f>
        <v/>
      </c>
      <c r="J541" s="7" t="str">
        <f t="shared" si="27"/>
        <v/>
      </c>
      <c r="K541" s="1"/>
    </row>
    <row r="542" ht="15.75" customHeight="1" spans="1:11">
      <c r="A542" s="7">
        <v>363</v>
      </c>
      <c r="B542" s="43"/>
      <c r="C542" s="7"/>
      <c r="D542" s="7" t="str">
        <f>IF(D11="","",IF(H542="","",D11))</f>
        <v/>
      </c>
      <c r="E542" s="7"/>
      <c r="F542" s="7"/>
      <c r="G542" s="7"/>
      <c r="H542" s="10" t="str">
        <f>IF(AND(E542="",F542="",G542=""),"",IF(SUM(E542:G542)&gt;100,"ERROR",IF(AND(E10="TEST",SUM(E542:G542)&lt;=100),SUM(E542:G542),IF(AND(E10="*TEST",F542="",E542&lt;=30,G542&lt;=70),SUM(E542:G542),IF(AND(E10="*TEST",F542&lt;=20,E542&lt;=20,G542&lt;=60),SUM(E542:G542),IF(AND(E10="*TEST",F542="-",E542&lt;=20,G542&lt;=60),SUM(E542:G542),"ERROR"))))))</f>
        <v/>
      </c>
      <c r="I542" s="7" t="str">
        <f>IF(H542="ERROR","ERROR",IF(H542="","",IF(AND(F10="*LAB",F542="-"),"F",IF(H542&gt;69.5,"A",IF(H542&gt;59.5,"B",IF(H542&gt;49.5,"C",IF(AND(D10="*PROGRAM",H542&lt;49.5),"F",IF(H542&gt;44.5,"D",IF(H542&gt;39.5,"E","F")))))))))</f>
        <v/>
      </c>
      <c r="J542" s="7" t="str">
        <f t="shared" si="27"/>
        <v/>
      </c>
      <c r="K542" s="1"/>
    </row>
    <row r="543" ht="15.75" customHeight="1" spans="1:11">
      <c r="A543" s="7">
        <v>364</v>
      </c>
      <c r="B543" s="43"/>
      <c r="C543" s="7"/>
      <c r="D543" s="7" t="str">
        <f>IF(D11="","",IF(H543="","",D11))</f>
        <v/>
      </c>
      <c r="E543" s="7"/>
      <c r="F543" s="7"/>
      <c r="G543" s="7"/>
      <c r="H543" s="10" t="str">
        <f>IF(AND(E543="",F543="",G543=""),"",IF(SUM(E543:G543)&gt;100,"ERROR",IF(AND(E10="TEST",SUM(E543:G543)&lt;=100),SUM(E543:G543),IF(AND(E10="*TEST",F543="",E543&lt;=30,G543&lt;=70),SUM(E543:G543),IF(AND(E10="*TEST",F543&lt;=20,E543&lt;=20,G543&lt;=60),SUM(E543:G543),IF(AND(E10="*TEST",F543="-",E543&lt;=20,G543&lt;=60),SUM(E543:G543),"ERROR"))))))</f>
        <v/>
      </c>
      <c r="I543" s="7" t="str">
        <f>IF(H543="ERROR","ERROR",IF(H543="","",IF(AND(F10="*LAB",F543="-"),"F",IF(H543&gt;69.5,"A",IF(H543&gt;59.5,"B",IF(H543&gt;49.5,"C",IF(AND(D10="*PROGRAM",H543&lt;49.5),"F",IF(H543&gt;44.5,"D",IF(H543&gt;39.5,"E","F")))))))))</f>
        <v/>
      </c>
      <c r="J543" s="7" t="str">
        <f t="shared" si="27"/>
        <v/>
      </c>
      <c r="K543" s="1"/>
    </row>
    <row r="544" ht="15.75" customHeight="1" spans="1:11">
      <c r="A544" s="7">
        <v>365</v>
      </c>
      <c r="B544" s="43"/>
      <c r="C544" s="7"/>
      <c r="D544" s="7" t="str">
        <f>IF(D11="","",IF(H544="","",D11))</f>
        <v/>
      </c>
      <c r="E544" s="7"/>
      <c r="F544" s="7"/>
      <c r="G544" s="7"/>
      <c r="H544" s="10" t="str">
        <f>IF(AND(E544="",F544="",G544=""),"",IF(SUM(E544:G544)&gt;100,"ERROR",IF(AND(E10="TEST",SUM(E544:G544)&lt;=100),SUM(E544:G544),IF(AND(E10="*TEST",F544="",E544&lt;=30,G544&lt;=70),SUM(E544:G544),IF(AND(E10="*TEST",F544&lt;=20,E544&lt;=20,G544&lt;=60),SUM(E544:G544),IF(AND(E10="*TEST",F544="-",E544&lt;=20,G544&lt;=60),SUM(E544:G544),"ERROR"))))))</f>
        <v/>
      </c>
      <c r="I544" s="7" t="str">
        <f>IF(H544="ERROR","ERROR",IF(H544="","",IF(AND(F10="*LAB",F544="-"),"F",IF(H544&gt;69.5,"A",IF(H544&gt;59.5,"B",IF(H544&gt;49.5,"C",IF(AND(D10="*PROGRAM",H544&lt;49.5),"F",IF(H544&gt;44.5,"D",IF(H544&gt;39.5,"E","F")))))))))</f>
        <v/>
      </c>
      <c r="J544" s="7" t="str">
        <f t="shared" si="27"/>
        <v/>
      </c>
      <c r="K544" s="1"/>
    </row>
    <row r="545" ht="15.75" customHeight="1" spans="1:11">
      <c r="A545" s="7">
        <v>366</v>
      </c>
      <c r="B545" s="43"/>
      <c r="C545" s="7"/>
      <c r="D545" s="7" t="str">
        <f>IF(D11="","",IF(H545="","",D11))</f>
        <v/>
      </c>
      <c r="E545" s="7"/>
      <c r="F545" s="7"/>
      <c r="G545" s="7"/>
      <c r="H545" s="10" t="str">
        <f>IF(AND(E545="",F545="",G545=""),"",IF(SUM(E545:G545)&gt;100,"ERROR",IF(AND(E10="TEST",SUM(E545:G545)&lt;=100),SUM(E545:G545),IF(AND(E10="*TEST",F545="",E545&lt;=30,G545&lt;=70),SUM(E545:G545),IF(AND(E10="*TEST",F545&lt;=20,E545&lt;=20,G545&lt;=60),SUM(E545:G545),IF(AND(E10="*TEST",F545="-",E545&lt;=20,G545&lt;=60),SUM(E545:G545),"ERROR"))))))</f>
        <v/>
      </c>
      <c r="I545" s="7" t="str">
        <f>IF(H545="ERROR","ERROR",IF(H545="","",IF(AND(F10="*LAB",F545="-"),"F",IF(H545&gt;69.5,"A",IF(H545&gt;59.5,"B",IF(H545&gt;49.5,"C",IF(AND(D10="*PROGRAM",H545&lt;49.5),"F",IF(H545&gt;44.5,"D",IF(H545&gt;39.5,"E","F")))))))))</f>
        <v/>
      </c>
      <c r="J545" s="7" t="str">
        <f t="shared" si="27"/>
        <v/>
      </c>
      <c r="K545" s="1"/>
    </row>
    <row r="546" ht="15.75" customHeight="1" spans="1:11">
      <c r="A546" s="7">
        <v>367</v>
      </c>
      <c r="B546" s="43"/>
      <c r="C546" s="7"/>
      <c r="D546" s="7" t="str">
        <f>IF(D11="","",IF(H546="","",D11))</f>
        <v/>
      </c>
      <c r="E546" s="7"/>
      <c r="F546" s="7"/>
      <c r="G546" s="7"/>
      <c r="H546" s="10" t="str">
        <f>IF(AND(E546="",F546="",G546=""),"",IF(SUM(E546:G546)&gt;100,"ERROR",IF(AND(E10="TEST",SUM(E546:G546)&lt;=100),SUM(E546:G546),IF(AND(E10="*TEST",F546="",E546&lt;=30,G546&lt;=70),SUM(E546:G546),IF(AND(E10="*TEST",F546&lt;=20,E546&lt;=20,G546&lt;=60),SUM(E546:G546),IF(AND(E10="*TEST",F546="-",E546&lt;=20,G546&lt;=60),SUM(E546:G546),"ERROR"))))))</f>
        <v/>
      </c>
      <c r="I546" s="7" t="str">
        <f>IF(H546="ERROR","ERROR",IF(H546="","",IF(AND(F10="*LAB",F546="-"),"F",IF(H546&gt;69.5,"A",IF(H546&gt;59.5,"B",IF(H546&gt;49.5,"C",IF(AND(D10="*PROGRAM",H546&lt;49.5),"F",IF(H546&gt;44.5,"D",IF(H546&gt;39.5,"E","F")))))))))</f>
        <v/>
      </c>
      <c r="J546" s="7" t="str">
        <f t="shared" si="27"/>
        <v/>
      </c>
      <c r="K546" s="1"/>
    </row>
    <row r="547" ht="15.75" customHeight="1" spans="1:11">
      <c r="A547" s="7">
        <v>368</v>
      </c>
      <c r="B547" s="43"/>
      <c r="C547" s="7"/>
      <c r="D547" s="7" t="str">
        <f>IF(D11="","",IF(H547="","",D11))</f>
        <v/>
      </c>
      <c r="E547" s="7"/>
      <c r="F547" s="7"/>
      <c r="G547" s="7"/>
      <c r="H547" s="10" t="str">
        <f>IF(AND(E547="",F547="",G547=""),"",IF(SUM(E547:G547)&gt;100,"ERROR",IF(AND(E10="TEST",SUM(E547:G547)&lt;=100),SUM(E547:G547),IF(AND(E10="*TEST",F547="",E547&lt;=30,G547&lt;=70),SUM(E547:G547),IF(AND(E10="*TEST",F547&lt;=20,E547&lt;=20,G547&lt;=60),SUM(E547:G547),IF(AND(E10="*TEST",F547="-",E547&lt;=20,G547&lt;=60),SUM(E547:G547),"ERROR"))))))</f>
        <v/>
      </c>
      <c r="I547" s="7" t="str">
        <f>IF(H547="ERROR","ERROR",IF(H547="","",IF(AND(F10="*LAB",F547="-"),"F",IF(H547&gt;69.5,"A",IF(H547&gt;59.5,"B",IF(H547&gt;49.5,"C",IF(AND(D10="*PROGRAM",H547&lt;49.5),"F",IF(H547&gt;44.5,"D",IF(H547&gt;39.5,"E","F")))))))))</f>
        <v/>
      </c>
      <c r="J547" s="7" t="str">
        <f t="shared" si="27"/>
        <v/>
      </c>
      <c r="K547" s="1"/>
    </row>
    <row r="548" ht="15.75" customHeight="1" spans="1:11">
      <c r="A548" s="7">
        <v>369</v>
      </c>
      <c r="B548" s="43"/>
      <c r="C548" s="7"/>
      <c r="D548" s="7" t="str">
        <f>IF(D11="","",IF(H548="","",D11))</f>
        <v/>
      </c>
      <c r="E548" s="7"/>
      <c r="F548" s="7"/>
      <c r="G548" s="7"/>
      <c r="H548" s="10" t="str">
        <f>IF(AND(E548="",F548="",G548=""),"",IF(SUM(E548:G548)&gt;100,"ERROR",IF(AND(E10="TEST",SUM(E548:G548)&lt;=100),SUM(E548:G548),IF(AND(E10="*TEST",F548="",E548&lt;=30,G548&lt;=70),SUM(E548:G548),IF(AND(E10="*TEST",F548&lt;=20,E548&lt;=20,G548&lt;=60),SUM(E548:G548),IF(AND(E10="*TEST",F548="-",E548&lt;=20,G548&lt;=60),SUM(E548:G548),"ERROR"))))))</f>
        <v/>
      </c>
      <c r="I548" s="7" t="str">
        <f>IF(H548="ERROR","ERROR",IF(H548="","",IF(AND(F10="*LAB",F548="-"),"F",IF(H548&gt;69.5,"A",IF(H548&gt;59.5,"B",IF(H548&gt;49.5,"C",IF(AND(D10="*PROGRAM",H548&lt;49.5),"F",IF(H548&gt;44.5,"D",IF(H548&gt;39.5,"E","F")))))))))</f>
        <v/>
      </c>
      <c r="J548" s="7" t="str">
        <f t="shared" si="27"/>
        <v/>
      </c>
      <c r="K548" s="1"/>
    </row>
    <row r="549" ht="15.75" customHeight="1" spans="1:11">
      <c r="A549" s="7">
        <v>370</v>
      </c>
      <c r="B549" s="43"/>
      <c r="C549" s="7"/>
      <c r="D549" s="7" t="str">
        <f>IF(D11="","",IF(H549="","",D11))</f>
        <v/>
      </c>
      <c r="E549" s="7"/>
      <c r="F549" s="7"/>
      <c r="G549" s="7"/>
      <c r="H549" s="10" t="str">
        <f>IF(AND(E549="",F549="",G549=""),"",IF(SUM(E549:G549)&gt;100,"ERROR",IF(AND(E10="TEST",SUM(E549:G549)&lt;=100),SUM(E549:G549),IF(AND(E10="*TEST",F549="",E549&lt;=30,G549&lt;=70),SUM(E549:G549),IF(AND(E10="*TEST",F549&lt;=20,E549&lt;=20,G549&lt;=60),SUM(E549:G549),IF(AND(E10="*TEST",F549="-",E549&lt;=20,G549&lt;=60),SUM(E549:G549),"ERROR"))))))</f>
        <v/>
      </c>
      <c r="I549" s="7" t="str">
        <f>IF(H549="ERROR","ERROR",IF(H549="","",IF(AND(F10="*LAB",F549="-"),"F",IF(H549&gt;69.5,"A",IF(H549&gt;59.5,"B",IF(H549&gt;49.5,"C",IF(AND(D10="*PROGRAM",H549&lt;49.5),"F",IF(H549&gt;44.5,"D",IF(H549&gt;39.5,"E","F")))))))))</f>
        <v/>
      </c>
      <c r="J549" s="7" t="str">
        <f t="shared" si="27"/>
        <v/>
      </c>
      <c r="K549" s="1"/>
    </row>
    <row r="550" ht="15.75" customHeight="1" spans="1:11">
      <c r="A550" s="7">
        <v>371</v>
      </c>
      <c r="B550" s="43"/>
      <c r="C550" s="7"/>
      <c r="D550" s="7" t="str">
        <f>IF(D11="","",IF(H550="","",D11))</f>
        <v/>
      </c>
      <c r="E550" s="7"/>
      <c r="F550" s="7"/>
      <c r="G550" s="7"/>
      <c r="H550" s="10" t="str">
        <f>IF(AND(E550="",F550="",G550=""),"",IF(SUM(E550:G550)&gt;100,"ERROR",IF(AND(E10="TEST",SUM(E550:G550)&lt;=100),SUM(E550:G550),IF(AND(E10="*TEST",F550="",E550&lt;=30,G550&lt;=70),SUM(E550:G550),IF(AND(E10="*TEST",F550&lt;=20,E550&lt;=20,G550&lt;=60),SUM(E550:G550),IF(AND(E10="*TEST",F550="-",E550&lt;=20,G550&lt;=60),SUM(E550:G550),"ERROR"))))))</f>
        <v/>
      </c>
      <c r="I550" s="7" t="str">
        <f>IF(H550="ERROR","ERROR",IF(H550="","",IF(AND(F10="*LAB",F550="-"),"F",IF(H550&gt;69.5,"A",IF(H550&gt;59.5,"B",IF(H550&gt;49.5,"C",IF(AND(D10="*PROGRAM",H550&lt;49.5),"F",IF(H550&gt;44.5,"D",IF(H550&gt;39.5,"E","F")))))))))</f>
        <v/>
      </c>
      <c r="J550" s="7" t="str">
        <f t="shared" si="27"/>
        <v/>
      </c>
      <c r="K550" s="1"/>
    </row>
    <row r="551" ht="15.75" customHeight="1" spans="1:11">
      <c r="A551" s="7">
        <v>372</v>
      </c>
      <c r="B551" s="43"/>
      <c r="C551" s="7"/>
      <c r="D551" s="7" t="str">
        <f>IF(D11="","",IF(H551="","",D11))</f>
        <v/>
      </c>
      <c r="E551" s="7"/>
      <c r="F551" s="7"/>
      <c r="G551" s="7"/>
      <c r="H551" s="10" t="str">
        <f>IF(AND(E551="",F551="",G551=""),"",IF(SUM(E551:G551)&gt;100,"ERROR",IF(AND(E10="TEST",SUM(E551:G551)&lt;=100),SUM(E551:G551),IF(AND(E10="*TEST",F551="",E551&lt;=30,G551&lt;=70),SUM(E551:G551),IF(AND(E10="*TEST",F551&lt;=20,E551&lt;=20,G551&lt;=60),SUM(E551:G551),IF(AND(E10="*TEST",F551="-",E551&lt;=20,G551&lt;=60),SUM(E551:G551),"ERROR"))))))</f>
        <v/>
      </c>
      <c r="I551" s="7" t="str">
        <f>IF(H551="ERROR","ERROR",IF(H551="","",IF(AND(F10="*LAB",F551="-"),"F",IF(H551&gt;69.5,"A",IF(H551&gt;59.5,"B",IF(H551&gt;49.5,"C",IF(AND(D10="*PROGRAM",H551&lt;49.5),"F",IF(H551&gt;44.5,"D",IF(H551&gt;39.5,"E","F")))))))))</f>
        <v/>
      </c>
      <c r="J551" s="7" t="str">
        <f t="shared" si="27"/>
        <v/>
      </c>
      <c r="K551" s="1"/>
    </row>
    <row r="552" ht="15.75" customHeight="1" spans="1:11">
      <c r="A552" s="7">
        <v>373</v>
      </c>
      <c r="B552" s="43"/>
      <c r="C552" s="7"/>
      <c r="D552" s="7" t="str">
        <f>IF(D11="","",IF(H552="","",D11))</f>
        <v/>
      </c>
      <c r="E552" s="7"/>
      <c r="F552" s="7"/>
      <c r="G552" s="7"/>
      <c r="H552" s="10" t="str">
        <f>IF(AND(E552="",F552="",G552=""),"",IF(SUM(E552:G552)&gt;100,"ERROR",IF(AND(E10="TEST",SUM(E552:G552)&lt;=100),SUM(E552:G552),IF(AND(E10="*TEST",F552="",E552&lt;=30,G552&lt;=70),SUM(E552:G552),IF(AND(E10="*TEST",F552&lt;=20,E552&lt;=20,G552&lt;=60),SUM(E552:G552),IF(AND(E10="*TEST",F552="-",E552&lt;=20,G552&lt;=60),SUM(E552:G552),"ERROR"))))))</f>
        <v/>
      </c>
      <c r="I552" s="7" t="str">
        <f>IF(H552="ERROR","ERROR",IF(H552="","",IF(AND(F10="*LAB",F552="-"),"F",IF(H552&gt;69.5,"A",IF(H552&gt;59.5,"B",IF(H552&gt;49.5,"C",IF(AND(D10="*PROGRAM",H552&lt;49.5),"F",IF(H552&gt;44.5,"D",IF(H552&gt;39.5,"E","F")))))))))</f>
        <v/>
      </c>
      <c r="J552" s="7" t="str">
        <f t="shared" si="27"/>
        <v/>
      </c>
      <c r="K552" s="1"/>
    </row>
    <row r="553" ht="15.75" customHeight="1" spans="1:11">
      <c r="A553" s="7">
        <v>374</v>
      </c>
      <c r="B553" s="43"/>
      <c r="C553" s="7"/>
      <c r="D553" s="7" t="str">
        <f>IF(D11="","",IF(H553="","",D11))</f>
        <v/>
      </c>
      <c r="E553" s="7"/>
      <c r="F553" s="7"/>
      <c r="G553" s="7"/>
      <c r="H553" s="10" t="str">
        <f>IF(AND(E553="",F553="",G553=""),"",IF(SUM(E553:G553)&gt;100,"ERROR",IF(AND(E10="TEST",SUM(E553:G553)&lt;=100),SUM(E553:G553),IF(AND(E10="*TEST",F553="",E553&lt;=30,G553&lt;=70),SUM(E553:G553),IF(AND(E10="*TEST",F553&lt;=20,E553&lt;=20,G553&lt;=60),SUM(E553:G553),IF(AND(E10="*TEST",F553="-",E553&lt;=20,G553&lt;=60),SUM(E553:G553),"ERROR"))))))</f>
        <v/>
      </c>
      <c r="I553" s="7" t="str">
        <f>IF(H553="ERROR","ERROR",IF(H553="","",IF(AND(F10="*LAB",F553="-"),"F",IF(H553&gt;69.5,"A",IF(H553&gt;59.5,"B",IF(H553&gt;49.5,"C",IF(AND(D10="*PROGRAM",H553&lt;49.5),"F",IF(H553&gt;44.5,"D",IF(H553&gt;39.5,"E","F")))))))))</f>
        <v/>
      </c>
      <c r="J553" s="7" t="str">
        <f t="shared" si="27"/>
        <v/>
      </c>
      <c r="K553" s="1"/>
    </row>
    <row r="554" ht="15.75" customHeight="1" spans="1:11">
      <c r="A554" s="7">
        <v>375</v>
      </c>
      <c r="B554" s="43"/>
      <c r="C554" s="7"/>
      <c r="D554" s="7" t="str">
        <f>IF(D11="","",IF(H554="","",D11))</f>
        <v/>
      </c>
      <c r="E554" s="7"/>
      <c r="F554" s="7"/>
      <c r="G554" s="7"/>
      <c r="H554" s="10" t="str">
        <f>IF(AND(E554="",F554="",G554=""),"",IF(SUM(E554:G554)&gt;100,"ERROR",IF(AND(E10="TEST",SUM(E554:G554)&lt;=100),SUM(E554:G554),IF(AND(E10="*TEST",F554="",E554&lt;=30,G554&lt;=70),SUM(E554:G554),IF(AND(E10="*TEST",F554&lt;=20,E554&lt;=20,G554&lt;=60),SUM(E554:G554),IF(AND(E10="*TEST",F554="-",E554&lt;=20,G554&lt;=60),SUM(E554:G554),"ERROR"))))))</f>
        <v/>
      </c>
      <c r="I554" s="7" t="str">
        <f>IF(H554="ERROR","ERROR",IF(H554="","",IF(AND(F10="*LAB",F554="-"),"F",IF(H554&gt;69.5,"A",IF(H554&gt;59.5,"B",IF(H554&gt;49.5,"C",IF(AND(D10="*PROGRAM",H554&lt;49.5),"F",IF(H554&gt;44.5,"D",IF(H554&gt;39.5,"E","F")))))))))</f>
        <v/>
      </c>
      <c r="J554" s="7" t="str">
        <f t="shared" si="27"/>
        <v/>
      </c>
      <c r="K554" s="1"/>
    </row>
    <row r="555" ht="15.75" customHeight="1" spans="1:11">
      <c r="A555" s="7">
        <v>376</v>
      </c>
      <c r="B555" s="43"/>
      <c r="C555" s="7"/>
      <c r="D555" s="7" t="str">
        <f>IF(D11="","",IF(H555="","",D11))</f>
        <v/>
      </c>
      <c r="E555" s="7"/>
      <c r="F555" s="7"/>
      <c r="G555" s="7"/>
      <c r="H555" s="10" t="str">
        <f>IF(AND(E555="",F555="",G555=""),"",IF(SUM(E555:G555)&gt;100,"ERROR",IF(AND(E10="TEST",SUM(E555:G555)&lt;=100),SUM(E555:G555),IF(AND(E10="*TEST",F555="",E555&lt;=30,G555&lt;=70),SUM(E555:G555),IF(AND(E10="*TEST",F555&lt;=20,E555&lt;=20,G555&lt;=60),SUM(E555:G555),IF(AND(E10="*TEST",F555="-",E555&lt;=20,G555&lt;=60),SUM(E555:G555),"ERROR"))))))</f>
        <v/>
      </c>
      <c r="I555" s="7" t="str">
        <f>IF(H555="ERROR","ERROR",IF(H555="","",IF(AND(F10="*LAB",F555="-"),"F",IF(H555&gt;69.5,"A",IF(H555&gt;59.5,"B",IF(H555&gt;49.5,"C",IF(AND(D10="*PROGRAM",H555&lt;49.5),"F",IF(H555&gt;44.5,"D",IF(H555&gt;39.5,"E","F")))))))))</f>
        <v/>
      </c>
      <c r="J555" s="7" t="str">
        <f t="shared" si="27"/>
        <v/>
      </c>
      <c r="K555" s="1"/>
    </row>
    <row r="556" ht="15.75" customHeight="1" spans="1:11">
      <c r="A556" s="7">
        <v>377</v>
      </c>
      <c r="B556" s="43"/>
      <c r="C556" s="7"/>
      <c r="D556" s="7" t="str">
        <f>IF(D11="","",IF(H556="","",D11))</f>
        <v/>
      </c>
      <c r="E556" s="7"/>
      <c r="F556" s="7"/>
      <c r="G556" s="7"/>
      <c r="H556" s="10" t="str">
        <f>IF(AND(E556="",F556="",G556=""),"",IF(SUM(E556:G556)&gt;100,"ERROR",IF(AND(E10="TEST",SUM(E556:G556)&lt;=100),SUM(E556:G556),IF(AND(E10="*TEST",F556="",E556&lt;=30,G556&lt;=70),SUM(E556:G556),IF(AND(E10="*TEST",F556&lt;=20,E556&lt;=20,G556&lt;=60),SUM(E556:G556),IF(AND(E10="*TEST",F556="-",E556&lt;=20,G556&lt;=60),SUM(E556:G556),"ERROR"))))))</f>
        <v/>
      </c>
      <c r="I556" s="7" t="str">
        <f>IF(H556="ERROR","ERROR",IF(H556="","",IF(AND(F10="*LAB",F556="-"),"F",IF(H556&gt;69.5,"A",IF(H556&gt;59.5,"B",IF(H556&gt;49.5,"C",IF(AND(D10="*PROGRAM",H556&lt;49.5),"F",IF(H556&gt;44.5,"D",IF(H556&gt;39.5,"E","F")))))))))</f>
        <v/>
      </c>
      <c r="J556" s="7" t="str">
        <f t="shared" si="27"/>
        <v/>
      </c>
      <c r="K556" s="1"/>
    </row>
    <row r="557" ht="15.75" customHeight="1" spans="1:11">
      <c r="A557" s="7">
        <v>378</v>
      </c>
      <c r="B557" s="43"/>
      <c r="C557" s="7"/>
      <c r="D557" s="7" t="str">
        <f>IF(D11="","",IF(H557="","",D11))</f>
        <v/>
      </c>
      <c r="E557" s="7"/>
      <c r="F557" s="7"/>
      <c r="G557" s="7"/>
      <c r="H557" s="10" t="str">
        <f>IF(AND(E557="",F557="",G557=""),"",IF(SUM(E557:G557)&gt;100,"ERROR",IF(AND(E10="TEST",SUM(E557:G557)&lt;=100),SUM(E557:G557),IF(AND(E10="*TEST",F557="",E557&lt;=30,G557&lt;=70),SUM(E557:G557),IF(AND(E10="*TEST",F557&lt;=20,E557&lt;=20,G557&lt;=60),SUM(E557:G557),IF(AND(E10="*TEST",F557="-",E557&lt;=20,G557&lt;=60),SUM(E557:G557),"ERROR"))))))</f>
        <v/>
      </c>
      <c r="I557" s="7" t="str">
        <f>IF(H557="ERROR","ERROR",IF(H557="","",IF(AND(F10="*LAB",F557="-"),"F",IF(H557&gt;69.5,"A",IF(H557&gt;59.5,"B",IF(H557&gt;49.5,"C",IF(AND(D10="*PROGRAM",H557&lt;49.5),"F",IF(H557&gt;44.5,"D",IF(H557&gt;39.5,"E","F")))))))))</f>
        <v/>
      </c>
      <c r="J557" s="7" t="str">
        <f t="shared" si="27"/>
        <v/>
      </c>
      <c r="K557" s="1"/>
    </row>
    <row r="558" ht="15.75" customHeight="1" spans="1:11">
      <c r="A558" s="7">
        <v>379</v>
      </c>
      <c r="B558" s="43"/>
      <c r="C558" s="7"/>
      <c r="D558" s="7" t="str">
        <f>IF(D11="","",IF(H558="","",D11))</f>
        <v/>
      </c>
      <c r="E558" s="7"/>
      <c r="F558" s="7"/>
      <c r="G558" s="7"/>
      <c r="H558" s="10" t="str">
        <f>IF(AND(E558="",F558="",G558=""),"",IF(SUM(E558:G558)&gt;100,"ERROR",IF(AND(E10="TEST",SUM(E558:G558)&lt;=100),SUM(E558:G558),IF(AND(E10="*TEST",F558="",E558&lt;=30,G558&lt;=70),SUM(E558:G558),IF(AND(E10="*TEST",F558&lt;=20,E558&lt;=20,G558&lt;=60),SUM(E558:G558),IF(AND(E10="*TEST",F558="-",E558&lt;=20,G558&lt;=60),SUM(E558:G558),"ERROR"))))))</f>
        <v/>
      </c>
      <c r="I558" s="7" t="str">
        <f>IF(H558="ERROR","ERROR",IF(H558="","",IF(AND(F10="*LAB",F558="-"),"F",IF(H558&gt;69.5,"A",IF(H558&gt;59.5,"B",IF(H558&gt;49.5,"C",IF(AND(D10="*PROGRAM",H558&lt;49.5),"F",IF(H558&gt;44.5,"D",IF(H558&gt;39.5,"E","F")))))))))</f>
        <v/>
      </c>
      <c r="J558" s="7" t="str">
        <f t="shared" si="27"/>
        <v/>
      </c>
      <c r="K558" s="1"/>
    </row>
    <row r="559" ht="15.75" customHeight="1" spans="1:11">
      <c r="A559" s="7">
        <v>380</v>
      </c>
      <c r="B559" s="43"/>
      <c r="C559" s="7"/>
      <c r="D559" s="7" t="str">
        <f>IF(D11="","",IF(H559="","",D11))</f>
        <v/>
      </c>
      <c r="E559" s="7"/>
      <c r="F559" s="7"/>
      <c r="G559" s="7"/>
      <c r="H559" s="10" t="str">
        <f>IF(AND(E559="",F559="",G559=""),"",IF(SUM(E559:G559)&gt;100,"ERROR",IF(AND(E10="TEST",SUM(E559:G559)&lt;=100),SUM(E559:G559),IF(AND(E10="*TEST",F559="",E559&lt;=30,G559&lt;=70),SUM(E559:G559),IF(AND(E10="*TEST",F559&lt;=20,E559&lt;=20,G559&lt;=60),SUM(E559:G559),IF(AND(E10="*TEST",F559="-",E559&lt;=20,G559&lt;=60),SUM(E559:G559),"ERROR"))))))</f>
        <v/>
      </c>
      <c r="I559" s="7" t="str">
        <f>IF(H559="ERROR","ERROR",IF(H559="","",IF(AND(F10="*LAB",F559="-"),"F",IF(H559&gt;69.5,"A",IF(H559&gt;59.5,"B",IF(H559&gt;49.5,"C",IF(AND(D10="*PROGRAM",H559&lt;49.5),"F",IF(H559&gt;44.5,"D",IF(H559&gt;39.5,"E","F")))))))))</f>
        <v/>
      </c>
      <c r="J559" s="7" t="str">
        <f t="shared" si="27"/>
        <v/>
      </c>
      <c r="K559" s="1"/>
    </row>
    <row r="560" ht="15.75" customHeight="1" spans="1:11">
      <c r="A560" s="7">
        <v>381</v>
      </c>
      <c r="B560" s="43"/>
      <c r="C560" s="7"/>
      <c r="D560" s="7" t="str">
        <f>IF(D11="","",IF(H560="","",D11))</f>
        <v/>
      </c>
      <c r="E560" s="7"/>
      <c r="F560" s="7"/>
      <c r="G560" s="7"/>
      <c r="H560" s="10" t="str">
        <f>IF(AND(E560="",F560="",G560=""),"",IF(SUM(E560:G560)&gt;100,"ERROR",IF(AND(E10="TEST",SUM(E560:G560)&lt;=100),SUM(E560:G560),IF(AND(E10="*TEST",F560="",E560&lt;=30,G560&lt;=70),SUM(E560:G560),IF(AND(E10="*TEST",F560&lt;=20,E560&lt;=20,G560&lt;=60),SUM(E560:G560),IF(AND(E10="*TEST",F560="-",E560&lt;=20,G560&lt;=60),SUM(E560:G560),"ERROR"))))))</f>
        <v/>
      </c>
      <c r="I560" s="7" t="str">
        <f>IF(H560="ERROR","ERROR",IF(H560="","",IF(AND(F10="*LAB",F560="-"),"F",IF(H560&gt;69.5,"A",IF(H560&gt;59.5,"B",IF(H560&gt;49.5,"C",IF(AND(D10="*PROGRAM",H560&lt;49.5),"F",IF(H560&gt;44.5,"D",IF(H560&gt;39.5,"E","F")))))))))</f>
        <v/>
      </c>
      <c r="J560" s="7" t="str">
        <f t="shared" si="27"/>
        <v/>
      </c>
      <c r="K560" s="1"/>
    </row>
    <row r="561" ht="15.75" customHeight="1" spans="1:11">
      <c r="A561" s="7">
        <v>382</v>
      </c>
      <c r="B561" s="43"/>
      <c r="C561" s="7"/>
      <c r="D561" s="7" t="str">
        <f>IF(D11="","",IF(H561="","",D11))</f>
        <v/>
      </c>
      <c r="E561" s="7"/>
      <c r="F561" s="7"/>
      <c r="G561" s="7"/>
      <c r="H561" s="10" t="str">
        <f>IF(AND(E561="",F561="",G561=""),"",IF(SUM(E561:G561)&gt;100,"ERROR",IF(AND(E10="TEST",SUM(E561:G561)&lt;=100),SUM(E561:G561),IF(AND(E10="*TEST",F561="",E561&lt;=30,G561&lt;=70),SUM(E561:G561),IF(AND(E10="*TEST",F561&lt;=20,E561&lt;=20,G561&lt;=60),SUM(E561:G561),IF(AND(E10="*TEST",F561="-",E561&lt;=20,G561&lt;=60),SUM(E561:G561),"ERROR"))))))</f>
        <v/>
      </c>
      <c r="I561" s="7" t="str">
        <f>IF(H561="ERROR","ERROR",IF(H561="","",IF(AND(F10="*LAB",F561="-"),"F",IF(H561&gt;69.5,"A",IF(H561&gt;59.5,"B",IF(H561&gt;49.5,"C",IF(AND(D10="*PROGRAM",H561&lt;49.5),"F",IF(H561&gt;44.5,"D",IF(H561&gt;39.5,"E","F")))))))))</f>
        <v/>
      </c>
      <c r="J561" s="7" t="str">
        <f t="shared" si="27"/>
        <v/>
      </c>
      <c r="K561" s="1"/>
    </row>
    <row r="562" ht="15.75" customHeight="1" spans="1:11">
      <c r="A562" s="7">
        <v>383</v>
      </c>
      <c r="B562" s="43"/>
      <c r="C562" s="7"/>
      <c r="D562" s="7" t="str">
        <f>IF(D11="","",IF(H562="","",D11))</f>
        <v/>
      </c>
      <c r="E562" s="7"/>
      <c r="F562" s="7"/>
      <c r="G562" s="7"/>
      <c r="H562" s="10" t="str">
        <f>IF(AND(E562="",F562="",G562=""),"",IF(SUM(E562:G562)&gt;100,"ERROR",IF(AND(E10="TEST",SUM(E562:G562)&lt;=100),SUM(E562:G562),IF(AND(E10="*TEST",F562="",E562&lt;=30,G562&lt;=70),SUM(E562:G562),IF(AND(E10="*TEST",F562&lt;=20,E562&lt;=20,G562&lt;=60),SUM(E562:G562),IF(AND(E10="*TEST",F562="-",E562&lt;=20,G562&lt;=60),SUM(E562:G562),"ERROR"))))))</f>
        <v/>
      </c>
      <c r="I562" s="7" t="str">
        <f>IF(H562="ERROR","ERROR",IF(H562="","",IF(AND(F10="*LAB",F562="-"),"F",IF(H562&gt;69.5,"A",IF(H562&gt;59.5,"B",IF(H562&gt;49.5,"C",IF(AND(D10="*PROGRAM",H562&lt;49.5),"F",IF(H562&gt;44.5,"D",IF(H562&gt;39.5,"E","F")))))))))</f>
        <v/>
      </c>
      <c r="J562" s="7" t="str">
        <f t="shared" si="27"/>
        <v/>
      </c>
      <c r="K562" s="1"/>
    </row>
    <row r="563" ht="15.75" customHeight="1" spans="1:11">
      <c r="A563" s="7">
        <v>384</v>
      </c>
      <c r="B563" s="43"/>
      <c r="C563" s="7"/>
      <c r="D563" s="7" t="str">
        <f>IF(D11="","",IF(H563="","",D11))</f>
        <v/>
      </c>
      <c r="E563" s="7"/>
      <c r="F563" s="7"/>
      <c r="G563" s="7"/>
      <c r="H563" s="10" t="str">
        <f>IF(AND(E563="",F563="",G563=""),"",IF(SUM(E563:G563)&gt;100,"ERROR",IF(AND(E10="TEST",SUM(E563:G563)&lt;=100),SUM(E563:G563),IF(AND(E10="*TEST",F563="",E563&lt;=30,G563&lt;=70),SUM(E563:G563),IF(AND(E10="*TEST",F563&lt;=20,E563&lt;=20,G563&lt;=60),SUM(E563:G563),IF(AND(E10="*TEST",F563="-",E563&lt;=20,G563&lt;=60),SUM(E563:G563),"ERROR"))))))</f>
        <v/>
      </c>
      <c r="I563" s="7" t="str">
        <f>IF(H563="ERROR","ERROR",IF(H563="","",IF(AND(F10="*LAB",F563="-"),"F",IF(H563&gt;69.5,"A",IF(H563&gt;59.5,"B",IF(H563&gt;49.5,"C",IF(AND(D10="*PROGRAM",H563&lt;49.5),"F",IF(H563&gt;44.5,"D",IF(H563&gt;39.5,"E","F")))))))))</f>
        <v/>
      </c>
      <c r="J563" s="7" t="str">
        <f t="shared" si="27"/>
        <v/>
      </c>
      <c r="K563" s="1"/>
    </row>
    <row r="564" ht="15.75" customHeight="1" spans="1:11">
      <c r="A564" s="7">
        <v>385</v>
      </c>
      <c r="B564" s="43"/>
      <c r="C564" s="7"/>
      <c r="D564" s="7" t="str">
        <f>IF(D11="","",IF(H564="","",D11))</f>
        <v/>
      </c>
      <c r="E564" s="7"/>
      <c r="F564" s="7"/>
      <c r="G564" s="7"/>
      <c r="H564" s="10" t="str">
        <f>IF(AND(E564="",F564="",G564=""),"",IF(SUM(E564:G564)&gt;100,"ERROR",IF(AND(E10="TEST",SUM(E564:G564)&lt;=100),SUM(E564:G564),IF(AND(E10="*TEST",F564="",E564&lt;=30,G564&lt;=70),SUM(E564:G564),IF(AND(E10="*TEST",F564&lt;=20,E564&lt;=20,G564&lt;=60),SUM(E564:G564),IF(AND(E10="*TEST",F564="-",E564&lt;=20,G564&lt;=60),SUM(E564:G564),"ERROR"))))))</f>
        <v/>
      </c>
      <c r="I564" s="7" t="str">
        <f>IF(H564="ERROR","ERROR",IF(H564="","",IF(AND(F10="*LAB",F564="-"),"F",IF(H564&gt;69.5,"A",IF(H564&gt;59.5,"B",IF(H564&gt;49.5,"C",IF(AND(D10="*PROGRAM",H564&lt;49.5),"F",IF(H564&gt;44.5,"D",IF(H564&gt;39.5,"E","F")))))))))</f>
        <v/>
      </c>
      <c r="J564" s="7" t="str">
        <f t="shared" si="27"/>
        <v/>
      </c>
      <c r="K564" s="1"/>
    </row>
    <row r="565" ht="15.75" customHeight="1" spans="1:11">
      <c r="A565" s="7">
        <v>386</v>
      </c>
      <c r="B565" s="43"/>
      <c r="C565" s="7"/>
      <c r="D565" s="7" t="str">
        <f>IF(D11="","",IF(H565="","",D11))</f>
        <v/>
      </c>
      <c r="E565" s="7"/>
      <c r="F565" s="7"/>
      <c r="G565" s="7"/>
      <c r="H565" s="10" t="str">
        <f>IF(AND(E565="",F565="",G565=""),"",IF(SUM(E565:G565)&gt;100,"ERROR",IF(AND(E10="TEST",SUM(E565:G565)&lt;=100),SUM(E565:G565),IF(AND(E10="*TEST",F565="",E565&lt;=30,G565&lt;=70),SUM(E565:G565),IF(AND(E10="*TEST",F565&lt;=20,E565&lt;=20,G565&lt;=60),SUM(E565:G565),IF(AND(E10="*TEST",F565="-",E565&lt;=20,G565&lt;=60),SUM(E565:G565),"ERROR"))))))</f>
        <v/>
      </c>
      <c r="I565" s="7" t="str">
        <f>IF(H565="ERROR","ERROR",IF(H565="","",IF(AND(F10="*LAB",F565="-"),"F",IF(H565&gt;69.5,"A",IF(H565&gt;59.5,"B",IF(H565&gt;49.5,"C",IF(AND(D10="*PROGRAM",H565&lt;49.5),"F",IF(H565&gt;44.5,"D",IF(H565&gt;39.5,"E","F")))))))))</f>
        <v/>
      </c>
      <c r="J565" s="7" t="str">
        <f t="shared" si="27"/>
        <v/>
      </c>
      <c r="K565" s="1"/>
    </row>
    <row r="566" ht="15.75" customHeight="1" spans="1:11">
      <c r="A566" s="7">
        <v>387</v>
      </c>
      <c r="B566" s="43"/>
      <c r="C566" s="7"/>
      <c r="D566" s="7" t="str">
        <f>IF(D11="","",IF(H566="","",D11))</f>
        <v/>
      </c>
      <c r="E566" s="7"/>
      <c r="F566" s="7"/>
      <c r="G566" s="7"/>
      <c r="H566" s="10" t="str">
        <f>IF(AND(E566="",F566="",G566=""),"",IF(SUM(E566:G566)&gt;100,"ERROR",IF(AND(E10="TEST",SUM(E566:G566)&lt;=100),SUM(E566:G566),IF(AND(E10="*TEST",F566="",E566&lt;=30,G566&lt;=70),SUM(E566:G566),IF(AND(E10="*TEST",F566&lt;=20,E566&lt;=20,G566&lt;=60),SUM(E566:G566),IF(AND(E10="*TEST",F566="-",E566&lt;=20,G566&lt;=60),SUM(E566:G566),"ERROR"))))))</f>
        <v/>
      </c>
      <c r="I566" s="7" t="str">
        <f>IF(H566="ERROR","ERROR",IF(H566="","",IF(AND(F10="*LAB",F566="-"),"F",IF(H566&gt;69.5,"A",IF(H566&gt;59.5,"B",IF(H566&gt;49.5,"C",IF(AND(D10="*PROGRAM",H566&lt;49.5),"F",IF(H566&gt;44.5,"D",IF(H566&gt;39.5,"E","F")))))))))</f>
        <v/>
      </c>
      <c r="J566" s="7" t="str">
        <f t="shared" si="27"/>
        <v/>
      </c>
      <c r="K566" s="1"/>
    </row>
    <row r="567" ht="15.75" customHeight="1" spans="1:11">
      <c r="A567" s="7">
        <v>388</v>
      </c>
      <c r="B567" s="43"/>
      <c r="C567" s="7"/>
      <c r="D567" s="7" t="str">
        <f>IF(D11="","",IF(H567="","",D11))</f>
        <v/>
      </c>
      <c r="E567" s="7"/>
      <c r="F567" s="7"/>
      <c r="G567" s="7"/>
      <c r="H567" s="10" t="str">
        <f>IF(AND(E567="",F567="",G567=""),"",IF(SUM(E567:G567)&gt;100,"ERROR",IF(AND(E10="TEST",SUM(E567:G567)&lt;=100),SUM(E567:G567),IF(AND(E10="*TEST",F567="",E567&lt;=30,G567&lt;=70),SUM(E567:G567),IF(AND(E10="*TEST",F567&lt;=20,E567&lt;=20,G567&lt;=60),SUM(E567:G567),IF(AND(E10="*TEST",F567="-",E567&lt;=20,G567&lt;=60),SUM(E567:G567),"ERROR"))))))</f>
        <v/>
      </c>
      <c r="I567" s="7" t="str">
        <f>IF(H567="ERROR","ERROR",IF(H567="","",IF(AND(F10="*LAB",F567="-"),"F",IF(H567&gt;69.5,"A",IF(H567&gt;59.5,"B",IF(H567&gt;49.5,"C",IF(AND(D10="*PROGRAM",H567&lt;49.5),"F",IF(H567&gt;44.5,"D",IF(H567&gt;39.5,"E","F")))))))))</f>
        <v/>
      </c>
      <c r="J567" s="7" t="str">
        <f t="shared" si="27"/>
        <v/>
      </c>
      <c r="K567" s="1"/>
    </row>
    <row r="568" ht="15.75" customHeight="1" spans="1:11">
      <c r="A568" s="7">
        <v>389</v>
      </c>
      <c r="B568" s="43"/>
      <c r="C568" s="7"/>
      <c r="D568" s="7" t="str">
        <f>IF(D11="","",IF(H568="","",D11))</f>
        <v/>
      </c>
      <c r="E568" s="7"/>
      <c r="F568" s="7"/>
      <c r="G568" s="7"/>
      <c r="H568" s="10" t="str">
        <f>IF(AND(E568="",F568="",G568=""),"",IF(SUM(E568:G568)&gt;100,"ERROR",IF(AND(E10="TEST",SUM(E568:G568)&lt;=100),SUM(E568:G568),IF(AND(E10="*TEST",F568="",E568&lt;=30,G568&lt;=70),SUM(E568:G568),IF(AND(E10="*TEST",F568&lt;=20,E568&lt;=20,G568&lt;=60),SUM(E568:G568),IF(AND(E10="*TEST",F568="-",E568&lt;=20,G568&lt;=60),SUM(E568:G568),"ERROR"))))))</f>
        <v/>
      </c>
      <c r="I568" s="7" t="str">
        <f>IF(H568="ERROR","ERROR",IF(H568="","",IF(AND(F10="*LAB",F568="-"),"F",IF(H568&gt;69.5,"A",IF(H568&gt;59.5,"B",IF(H568&gt;49.5,"C",IF(AND(D10="*PROGRAM",H568&lt;49.5),"F",IF(H568&gt;44.5,"D",IF(H568&gt;39.5,"E","F")))))))))</f>
        <v/>
      </c>
      <c r="J568" s="7" t="str">
        <f t="shared" si="27"/>
        <v/>
      </c>
      <c r="K568" s="1"/>
    </row>
    <row r="569" ht="15.75" customHeight="1" spans="1:11">
      <c r="A569" s="7">
        <v>390</v>
      </c>
      <c r="B569" s="43"/>
      <c r="C569" s="7"/>
      <c r="D569" s="7" t="str">
        <f>IF(D11="","",IF(H569="","",D11))</f>
        <v/>
      </c>
      <c r="E569" s="7"/>
      <c r="F569" s="7"/>
      <c r="G569" s="7"/>
      <c r="H569" s="10" t="str">
        <f>IF(AND(E569="",F569="",G569=""),"",IF(SUM(E569:G569)&gt;100,"ERROR",IF(AND(E10="TEST",SUM(E569:G569)&lt;=100),SUM(E569:G569),IF(AND(E10="*TEST",F569="",E569&lt;=30,G569&lt;=70),SUM(E569:G569),IF(AND(E10="*TEST",F569&lt;=20,E569&lt;=20,G569&lt;=60),SUM(E569:G569),IF(AND(E10="*TEST",F569="-",E569&lt;=20,G569&lt;=60),SUM(E569:G569),"ERROR"))))))</f>
        <v/>
      </c>
      <c r="I569" s="7" t="str">
        <f>IF(H569="ERROR","ERROR",IF(H569="","",IF(AND(F10="*LAB",F569="-"),"F",IF(H569&gt;69.5,"A",IF(H569&gt;59.5,"B",IF(H569&gt;49.5,"C",IF(AND(D10="*PROGRAM",H569&lt;49.5),"F",IF(H569&gt;44.5,"D",IF(H569&gt;39.5,"E","F")))))))))</f>
        <v/>
      </c>
      <c r="J569" s="7" t="str">
        <f t="shared" si="27"/>
        <v/>
      </c>
      <c r="K569" s="1"/>
    </row>
    <row r="570" ht="15.75" customHeight="1" spans="1:11">
      <c r="A570" s="7">
        <v>391</v>
      </c>
      <c r="B570" s="43"/>
      <c r="C570" s="7"/>
      <c r="D570" s="7" t="str">
        <f>IF(D11="","",IF(H570="","",D11))</f>
        <v/>
      </c>
      <c r="E570" s="7"/>
      <c r="F570" s="7"/>
      <c r="G570" s="7"/>
      <c r="H570" s="10" t="str">
        <f>IF(AND(E570="",F570="",G570=""),"",IF(SUM(E570:G570)&gt;100,"ERROR",IF(AND(E10="TEST",SUM(E570:G570)&lt;=100),SUM(E570:G570),IF(AND(E10="*TEST",F570="",E570&lt;=30,G570&lt;=70),SUM(E570:G570),IF(AND(E10="*TEST",F570&lt;=20,E570&lt;=20,G570&lt;=60),SUM(E570:G570),IF(AND(E10="*TEST",F570="-",E570&lt;=20,G570&lt;=60),SUM(E570:G570),"ERROR"))))))</f>
        <v/>
      </c>
      <c r="I570" s="7" t="str">
        <f>IF(H570="ERROR","ERROR",IF(H570="","",IF(AND(F10="*LAB",F570="-"),"F",IF(H570&gt;69.5,"A",IF(H570&gt;59.5,"B",IF(H570&gt;49.5,"C",IF(AND(D10="*PROGRAM",H570&lt;49.5),"F",IF(H570&gt;44.5,"D",IF(H570&gt;39.5,"E","F")))))))))</f>
        <v/>
      </c>
      <c r="J570" s="7" t="str">
        <f t="shared" si="27"/>
        <v/>
      </c>
      <c r="K570" s="1"/>
    </row>
    <row r="571" ht="15.75" customHeight="1" spans="1:11">
      <c r="A571" s="7">
        <v>392</v>
      </c>
      <c r="B571" s="43"/>
      <c r="C571" s="7"/>
      <c r="D571" s="7" t="str">
        <f>IF(D11="","",IF(H571="","",D11))</f>
        <v/>
      </c>
      <c r="E571" s="7"/>
      <c r="F571" s="7"/>
      <c r="G571" s="7"/>
      <c r="H571" s="10" t="str">
        <f>IF(AND(E571="",F571="",G571=""),"",IF(SUM(E571:G571)&gt;100,"ERROR",IF(AND(E10="TEST",SUM(E571:G571)&lt;=100),SUM(E571:G571),IF(AND(E10="*TEST",F571="",E571&lt;=30,G571&lt;=70),SUM(E571:G571),IF(AND(E10="*TEST",F571&lt;=20,E571&lt;=20,G571&lt;=60),SUM(E571:G571),IF(AND(E10="*TEST",F571="-",E571&lt;=20,G571&lt;=60),SUM(E571:G571),"ERROR"))))))</f>
        <v/>
      </c>
      <c r="I571" s="7" t="str">
        <f>IF(H571="ERROR","ERROR",IF(H571="","",IF(AND(F10="*LAB",F571="-"),"F",IF(H571&gt;69.5,"A",IF(H571&gt;59.5,"B",IF(H571&gt;49.5,"C",IF(AND(D10="*PROGRAM",H571&lt;49.5),"F",IF(H571&gt;44.5,"D",IF(H571&gt;39.5,"E","F")))))))))</f>
        <v/>
      </c>
      <c r="J571" s="7" t="str">
        <f t="shared" si="27"/>
        <v/>
      </c>
      <c r="K571" s="1"/>
    </row>
    <row r="572" ht="15.75" customHeight="1" spans="1:11">
      <c r="A572" s="7">
        <v>393</v>
      </c>
      <c r="B572" s="43"/>
      <c r="C572" s="7"/>
      <c r="D572" s="7" t="str">
        <f>IF(D11="","",IF(H572="","",D11))</f>
        <v/>
      </c>
      <c r="E572" s="7"/>
      <c r="F572" s="7"/>
      <c r="G572" s="7"/>
      <c r="H572" s="10" t="str">
        <f>IF(AND(E572="",F572="",G572=""),"",IF(SUM(E572:G572)&gt;100,"ERROR",IF(AND(E10="TEST",SUM(E572:G572)&lt;=100),SUM(E572:G572),IF(AND(E10="*TEST",F572="",E572&lt;=30,G572&lt;=70),SUM(E572:G572),IF(AND(E10="*TEST",F572&lt;=20,E572&lt;=20,G572&lt;=60),SUM(E572:G572),IF(AND(E10="*TEST",F572="-",E572&lt;=20,G572&lt;=60),SUM(E572:G572),"ERROR"))))))</f>
        <v/>
      </c>
      <c r="I572" s="7" t="str">
        <f>IF(H572="ERROR","ERROR",IF(H572="","",IF(AND(F10="*LAB",F572="-"),"F",IF(H572&gt;69.5,"A",IF(H572&gt;59.5,"B",IF(H572&gt;49.5,"C",IF(AND(D10="*PROGRAM",H572&lt;49.5),"F",IF(H572&gt;44.5,"D",IF(H572&gt;39.5,"E","F")))))))))</f>
        <v/>
      </c>
      <c r="J572" s="7" t="str">
        <f t="shared" si="27"/>
        <v/>
      </c>
      <c r="K572" s="1"/>
    </row>
    <row r="573" ht="15.75" customHeight="1" spans="1:11">
      <c r="A573" s="7">
        <v>394</v>
      </c>
      <c r="B573" s="43"/>
      <c r="C573" s="7"/>
      <c r="D573" s="7" t="str">
        <f>IF(D11="","",IF(H573="","",D11))</f>
        <v/>
      </c>
      <c r="E573" s="7"/>
      <c r="F573" s="7"/>
      <c r="G573" s="7"/>
      <c r="H573" s="10" t="str">
        <f>IF(AND(E573="",F573="",G573=""),"",IF(SUM(E573:G573)&gt;100,"ERROR",IF(AND(E10="TEST",SUM(E573:G573)&lt;=100),SUM(E573:G573),IF(AND(E10="*TEST",F573="",E573&lt;=30,G573&lt;=70),SUM(E573:G573),IF(AND(E10="*TEST",F573&lt;=20,E573&lt;=20,G573&lt;=60),SUM(E573:G573),IF(AND(E10="*TEST",F573="-",E573&lt;=20,G573&lt;=60),SUM(E573:G573),"ERROR"))))))</f>
        <v/>
      </c>
      <c r="I573" s="7" t="str">
        <f>IF(H573="ERROR","ERROR",IF(H573="","",IF(AND(F10="*LAB",F573="-"),"F",IF(H573&gt;69.5,"A",IF(H573&gt;59.5,"B",IF(H573&gt;49.5,"C",IF(AND(D10="*PROGRAM",H573&lt;49.5),"F",IF(H573&gt;44.5,"D",IF(H573&gt;39.5,"E","F")))))))))</f>
        <v/>
      </c>
      <c r="J573" s="7" t="str">
        <f t="shared" si="27"/>
        <v/>
      </c>
      <c r="K573" s="1"/>
    </row>
    <row r="574" ht="15.75" customHeight="1" spans="1:11">
      <c r="A574" s="7">
        <v>395</v>
      </c>
      <c r="B574" s="43"/>
      <c r="C574" s="7"/>
      <c r="D574" s="7" t="str">
        <f>IF(D11="","",IF(H574="","",D11))</f>
        <v/>
      </c>
      <c r="E574" s="7"/>
      <c r="F574" s="7"/>
      <c r="G574" s="7"/>
      <c r="H574" s="10" t="str">
        <f>IF(AND(E574="",F574="",G574=""),"",IF(SUM(E574:G574)&gt;100,"ERROR",IF(AND(E10="TEST",SUM(E574:G574)&lt;=100),SUM(E574:G574),IF(AND(E10="*TEST",F574="",E574&lt;=30,G574&lt;=70),SUM(E574:G574),IF(AND(E10="*TEST",F574&lt;=20,E574&lt;=20,G574&lt;=60),SUM(E574:G574),IF(AND(E10="*TEST",F574="-",E574&lt;=20,G574&lt;=60),SUM(E574:G574),"ERROR"))))))</f>
        <v/>
      </c>
      <c r="I574" s="7" t="str">
        <f>IF(H574="ERROR","ERROR",IF(H574="","",IF(AND(F10="*LAB",F574="-"),"F",IF(H574&gt;69.5,"A",IF(H574&gt;59.5,"B",IF(H574&gt;49.5,"C",IF(AND(D10="*PROGRAM",H574&lt;49.5),"F",IF(H574&gt;44.5,"D",IF(H574&gt;39.5,"E","F")))))))))</f>
        <v/>
      </c>
      <c r="J574" s="7" t="str">
        <f t="shared" si="27"/>
        <v/>
      </c>
      <c r="K574" s="1"/>
    </row>
    <row r="575" ht="15.75" customHeight="1" spans="1:11">
      <c r="A575" s="7">
        <v>396</v>
      </c>
      <c r="B575" s="43"/>
      <c r="C575" s="7"/>
      <c r="D575" s="7" t="str">
        <f>IF(D11="","",IF(H575="","",D11))</f>
        <v/>
      </c>
      <c r="E575" s="7"/>
      <c r="F575" s="7"/>
      <c r="G575" s="7"/>
      <c r="H575" s="10" t="str">
        <f>IF(AND(E575="",F575="",G575=""),"",IF(SUM(E575:G575)&gt;100,"ERROR",IF(AND(E10="TEST",SUM(E575:G575)&lt;=100),SUM(E575:G575),IF(AND(E10="*TEST",F575="",E575&lt;=30,G575&lt;=70),SUM(E575:G575),IF(AND(E10="*TEST",F575&lt;=20,E575&lt;=20,G575&lt;=60),SUM(E575:G575),IF(AND(E10="*TEST",F575="-",E575&lt;=20,G575&lt;=60),SUM(E575:G575),"ERROR"))))))</f>
        <v/>
      </c>
      <c r="I575" s="7" t="str">
        <f>IF(H575="ERROR","ERROR",IF(H575="","",IF(AND(F10="*LAB",F575="-"),"F",IF(H575&gt;69.5,"A",IF(H575&gt;59.5,"B",IF(H575&gt;49.5,"C",IF(AND(D10="*PROGRAM",H575&lt;49.5),"F",IF(H575&gt;44.5,"D",IF(H575&gt;39.5,"E","F")))))))))</f>
        <v/>
      </c>
      <c r="J575" s="7" t="str">
        <f t="shared" si="27"/>
        <v/>
      </c>
      <c r="K575" s="1"/>
    </row>
    <row r="576" ht="15.75" customHeight="1" spans="1:11">
      <c r="A576" s="7">
        <v>397</v>
      </c>
      <c r="B576" s="43"/>
      <c r="C576" s="7"/>
      <c r="D576" s="7" t="str">
        <f>IF(D11="","",IF(H576="","",D11))</f>
        <v/>
      </c>
      <c r="E576" s="7"/>
      <c r="F576" s="7"/>
      <c r="G576" s="7"/>
      <c r="H576" s="10" t="str">
        <f>IF(AND(E576="",F576="",G576=""),"",IF(SUM(E576:G576)&gt;100,"ERROR",IF(AND(E10="TEST",SUM(E576:G576)&lt;=100),SUM(E576:G576),IF(AND(E10="*TEST",F576="",E576&lt;=30,G576&lt;=70),SUM(E576:G576),IF(AND(E10="*TEST",F576&lt;=20,E576&lt;=20,G576&lt;=60),SUM(E576:G576),IF(AND(E10="*TEST",F576="-",E576&lt;=20,G576&lt;=60),SUM(E576:G576),"ERROR"))))))</f>
        <v/>
      </c>
      <c r="I576" s="7" t="str">
        <f>IF(H576="ERROR","ERROR",IF(H576="","",IF(AND(F10="*LAB",F576="-"),"F",IF(H576&gt;69.5,"A",IF(H576&gt;59.5,"B",IF(H576&gt;49.5,"C",IF(AND(D10="*PROGRAM",H576&lt;49.5),"F",IF(H576&gt;44.5,"D",IF(H576&gt;39.5,"E","F")))))))))</f>
        <v/>
      </c>
      <c r="J576" s="7" t="str">
        <f t="shared" si="27"/>
        <v/>
      </c>
      <c r="K576" s="1"/>
    </row>
    <row r="577" ht="15.75" customHeight="1" spans="1:11">
      <c r="A577" s="7">
        <v>398</v>
      </c>
      <c r="B577" s="43"/>
      <c r="C577" s="7"/>
      <c r="D577" s="7" t="str">
        <f>IF(D11="","",IF(H577="","",D11))</f>
        <v/>
      </c>
      <c r="E577" s="7"/>
      <c r="F577" s="7"/>
      <c r="G577" s="7"/>
      <c r="H577" s="10" t="str">
        <f>IF(AND(E577="",F577="",G577=""),"",IF(SUM(E577:G577)&gt;100,"ERROR",IF(AND(E10="TEST",SUM(E577:G577)&lt;=100),SUM(E577:G577),IF(AND(E10="*TEST",F577="",E577&lt;=30,G577&lt;=70),SUM(E577:G577),IF(AND(E10="*TEST",F577&lt;=20,E577&lt;=20,G577&lt;=60),SUM(E577:G577),IF(AND(E10="*TEST",F577="-",E577&lt;=20,G577&lt;=60),SUM(E577:G577),"ERROR"))))))</f>
        <v/>
      </c>
      <c r="I577" s="7" t="str">
        <f>IF(H577="ERROR","ERROR",IF(H577="","",IF(AND(F10="*LAB",F577="-"),"F",IF(H577&gt;69.5,"A",IF(H577&gt;59.5,"B",IF(H577&gt;49.5,"C",IF(AND(D10="*PROGRAM",H577&lt;49.5),"F",IF(H577&gt;44.5,"D",IF(H577&gt;39.5,"E","F")))))))))</f>
        <v/>
      </c>
      <c r="J577" s="7" t="str">
        <f t="shared" si="27"/>
        <v/>
      </c>
      <c r="K577" s="1"/>
    </row>
    <row r="578" ht="15.75" customHeight="1" spans="1:11">
      <c r="A578" s="7">
        <v>399</v>
      </c>
      <c r="B578" s="43"/>
      <c r="C578" s="7"/>
      <c r="D578" s="7" t="str">
        <f>IF(D11="","",IF(H578="","",D11))</f>
        <v/>
      </c>
      <c r="E578" s="7"/>
      <c r="F578" s="7"/>
      <c r="G578" s="7"/>
      <c r="H578" s="10" t="str">
        <f>IF(AND(E578="",F578="",G578=""),"",IF(SUM(E578:G578)&gt;100,"ERROR",IF(AND(E10="TEST",SUM(E578:G578)&lt;=100),SUM(E578:G578),IF(AND(E10="*TEST",F578="",E578&lt;=30,G578&lt;=70),SUM(E578:G578),IF(AND(E10="*TEST",F578&lt;=20,E578&lt;=20,G578&lt;=60),SUM(E578:G578),IF(AND(E10="*TEST",F578="-",E578&lt;=20,G578&lt;=60),SUM(E578:G578),"ERROR"))))))</f>
        <v/>
      </c>
      <c r="I578" s="7" t="str">
        <f>IF(H578="ERROR","ERROR",IF(H578="","",IF(AND(F10="*LAB",F578="-"),"F",IF(H578&gt;69.5,"A",IF(H578&gt;59.5,"B",IF(H578&gt;49.5,"C",IF(AND(D10="*PROGRAM",H578&lt;49.5),"F",IF(H578&gt;44.5,"D",IF(H578&gt;39.5,"E","F")))))))))</f>
        <v/>
      </c>
      <c r="J578" s="7" t="str">
        <f t="shared" si="27"/>
        <v/>
      </c>
      <c r="K578" s="1"/>
    </row>
    <row r="579" ht="15.75" customHeight="1" spans="1:11">
      <c r="A579" s="7">
        <v>400</v>
      </c>
      <c r="B579" s="43"/>
      <c r="C579" s="7"/>
      <c r="D579" s="7" t="str">
        <f>IF(D11="","",IF(H579="","",D11))</f>
        <v/>
      </c>
      <c r="E579" s="7"/>
      <c r="F579" s="7"/>
      <c r="G579" s="7"/>
      <c r="H579" s="10" t="str">
        <f>IF(AND(E579="",F579="",G579=""),"",IF(SUM(E579:G579)&gt;100,"ERROR",IF(AND(E10="TEST",SUM(E579:G579)&lt;=100),SUM(E579:G579),IF(AND(E10="*TEST",F579="",E579&lt;=30,G579&lt;=70),SUM(E579:G579),IF(AND(E10="*TEST",F579&lt;=20,E579&lt;=20,G579&lt;=60),SUM(E579:G579),IF(AND(E10="*TEST",F579="-",E579&lt;=20,G579&lt;=60),SUM(E579:G579),"ERROR"))))))</f>
        <v/>
      </c>
      <c r="I579" s="7" t="str">
        <f>IF(H579="ERROR","ERROR",IF(H579="","",IF(AND(F10="*LAB",F579="-"),"F",IF(H579&gt;69.5,"A",IF(H579&gt;59.5,"B",IF(H579&gt;49.5,"C",IF(AND(D10="*PROGRAM",H579&lt;49.5),"F",IF(H579&gt;44.5,"D",IF(H579&gt;39.5,"E","F")))))))))</f>
        <v/>
      </c>
      <c r="J579" s="7" t="str">
        <f t="shared" si="27"/>
        <v/>
      </c>
      <c r="K579" s="1"/>
    </row>
    <row r="580" ht="24.75" customHeight="1" spans="1:11">
      <c r="A580" s="1"/>
      <c r="B580" s="44"/>
      <c r="C580" s="1"/>
      <c r="D580" s="1"/>
      <c r="E580" s="1"/>
      <c r="F580" s="1"/>
      <c r="G580" s="13"/>
      <c r="H580" s="14"/>
      <c r="I580" s="14"/>
      <c r="J580" s="14"/>
      <c r="K580" s="1"/>
    </row>
    <row r="581" ht="15.75" customHeight="1" spans="1:11">
      <c r="A581" s="1"/>
      <c r="B581" s="15" t="s">
        <v>60</v>
      </c>
      <c r="C581" s="13"/>
      <c r="D581" s="13"/>
      <c r="E581" s="13"/>
      <c r="F581" s="13"/>
      <c r="G581" s="16" t="s">
        <v>61</v>
      </c>
      <c r="H581" s="17"/>
      <c r="I581" s="17"/>
      <c r="J581" s="17"/>
      <c r="K581" s="1"/>
    </row>
    <row r="582" ht="15.75" customHeight="1" spans="1:11">
      <c r="A582" s="1" t="str">
        <f>IF(AND(I599="",I540&lt;&gt;""),A889,"")</f>
        <v/>
      </c>
      <c r="B582" s="2" t="str">
        <f>IF(A582="","",B889)</f>
        <v/>
      </c>
      <c r="C582" s="16" t="s">
        <v>62</v>
      </c>
      <c r="D582" s="17"/>
      <c r="E582" s="17"/>
      <c r="F582" s="17"/>
      <c r="G582" s="1"/>
      <c r="H582" s="1"/>
      <c r="I582" s="1"/>
      <c r="J582" s="1"/>
      <c r="K582" s="1"/>
    </row>
    <row r="583" ht="15.75" customHeight="1" spans="1:11">
      <c r="A583" s="1" t="str">
        <f>IF(A582="","",A890)</f>
        <v/>
      </c>
      <c r="B583" s="2" t="str">
        <f>IF(A582="","",B890)</f>
        <v/>
      </c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 spans="1:11">
      <c r="A584" s="1" t="str">
        <f>IF(A582="","",A891)</f>
        <v/>
      </c>
      <c r="B584" s="2" t="str">
        <f>IF(A582="","",B891)</f>
        <v/>
      </c>
      <c r="C584" s="18" t="s">
        <v>63</v>
      </c>
      <c r="D584" s="17"/>
      <c r="E584" s="17"/>
      <c r="F584" s="17"/>
      <c r="G584" s="17"/>
      <c r="H584" s="17"/>
      <c r="I584" s="17"/>
      <c r="J584" s="24"/>
      <c r="K584" s="1"/>
    </row>
    <row r="585" ht="15.75" customHeight="1" spans="1:11">
      <c r="A585" s="1" t="str">
        <f>IF(A582="","",A892)</f>
        <v/>
      </c>
      <c r="B585" s="2" t="str">
        <f>IF(A582="","",B892)</f>
        <v/>
      </c>
      <c r="C585" s="19" t="s">
        <v>64</v>
      </c>
      <c r="F585" s="15"/>
      <c r="G585" s="15" t="s">
        <v>65</v>
      </c>
      <c r="J585" s="25"/>
      <c r="K585" s="1"/>
    </row>
    <row r="586" ht="15.75" customHeight="1" spans="1:11">
      <c r="A586" s="1" t="str">
        <f>IF(A582="","",A893)</f>
        <v/>
      </c>
      <c r="B586" s="2" t="str">
        <f>IF(A582="","",B893)</f>
        <v/>
      </c>
      <c r="C586" s="19" t="s">
        <v>66</v>
      </c>
      <c r="F586" s="15"/>
      <c r="G586" s="15" t="s">
        <v>67</v>
      </c>
      <c r="J586" s="25"/>
      <c r="K586" s="1"/>
    </row>
    <row r="587" ht="15.75" customHeight="1" spans="1:11">
      <c r="A587" s="1" t="str">
        <f>IF(A582="","",A894)</f>
        <v/>
      </c>
      <c r="B587" s="2" t="str">
        <f>IF(A582="","",B894)</f>
        <v/>
      </c>
      <c r="C587" s="20" t="s">
        <v>68</v>
      </c>
      <c r="D587" s="14"/>
      <c r="E587" s="14"/>
      <c r="F587" s="21"/>
      <c r="G587" s="21" t="s">
        <v>69</v>
      </c>
      <c r="H587" s="14"/>
      <c r="I587" s="14"/>
      <c r="J587" s="26"/>
      <c r="K587" s="1"/>
    </row>
    <row r="588" ht="15.75" customHeight="1" spans="1:11">
      <c r="A588" s="1" t="str">
        <f>IF(A582="","",A895)</f>
        <v/>
      </c>
      <c r="B588" s="22" t="str">
        <f>IF(A582="","",B895)</f>
        <v/>
      </c>
      <c r="C588" s="1"/>
      <c r="D588" s="1"/>
      <c r="E588" s="1"/>
      <c r="F588" s="1"/>
      <c r="G588" s="1"/>
      <c r="H588" s="1"/>
      <c r="I588" s="1"/>
      <c r="J588" s="27" t="s">
        <v>182</v>
      </c>
      <c r="K588" s="1"/>
    </row>
    <row r="589" ht="15.75" customHeight="1" spans="1:11">
      <c r="A589" s="23"/>
      <c r="B589" s="23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 spans="1:11">
      <c r="A590" s="1"/>
      <c r="B590" s="3" t="s">
        <v>0</v>
      </c>
      <c r="K590" s="1"/>
    </row>
    <row r="591" ht="15.75" customHeight="1" spans="1:11">
      <c r="A591" s="1"/>
      <c r="B591" s="4" t="s">
        <v>1</v>
      </c>
      <c r="K591" s="1"/>
    </row>
    <row r="592" ht="15.75" customHeight="1" spans="1:1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 spans="1:11">
      <c r="A593" s="2" t="str">
        <f t="shared" ref="A593:A596" si="28">A5</f>
        <v>School of Student: SEET</v>
      </c>
      <c r="D593" s="1"/>
      <c r="E593" s="5">
        <f t="shared" ref="E593:E596" si="29">E5</f>
        <v>0</v>
      </c>
      <c r="K593" s="1"/>
    </row>
    <row r="594" ht="15.75" customHeight="1" spans="1:11">
      <c r="A594" s="2" t="str">
        <f t="shared" si="28"/>
        <v>Department: BIOMEDICAL ENGINEERING</v>
      </c>
      <c r="D594" s="1"/>
      <c r="E594" s="5" t="str">
        <f t="shared" si="29"/>
        <v>Session: ---------------------------------</v>
      </c>
      <c r="K594" s="1"/>
    </row>
    <row r="595" ht="15.75" customHeight="1" spans="1:11">
      <c r="A595" s="2" t="str">
        <f t="shared" si="28"/>
        <v>Title of Course: ------------------------</v>
      </c>
      <c r="D595" s="1"/>
      <c r="E595" s="5" t="str">
        <f t="shared" si="29"/>
        <v>Course Code: -------------------------</v>
      </c>
      <c r="K595" s="1"/>
    </row>
    <row r="596" ht="15.75" customHeight="1" spans="1:11">
      <c r="A596" s="2" t="str">
        <f t="shared" si="28"/>
        <v>School Offering Course: ----------------------------</v>
      </c>
      <c r="D596" s="1"/>
      <c r="E596" s="5" t="str">
        <f t="shared" si="29"/>
        <v>Date: -----------------------------</v>
      </c>
      <c r="K596" s="1"/>
    </row>
    <row r="597" ht="15.75" customHeight="1" spans="1:11">
      <c r="A597" s="1"/>
      <c r="B597" s="2"/>
      <c r="C597" s="1"/>
      <c r="D597" s="5"/>
      <c r="E597" s="5"/>
      <c r="F597" s="5"/>
      <c r="G597" s="5"/>
      <c r="H597" s="5"/>
      <c r="I597" s="5"/>
      <c r="J597" s="5"/>
      <c r="K597" s="1"/>
    </row>
    <row r="598" ht="15.75" customHeight="1" spans="1:11">
      <c r="A598" s="6" t="s">
        <v>9</v>
      </c>
      <c r="B598" s="6" t="s">
        <v>10</v>
      </c>
      <c r="C598" s="6" t="s">
        <v>11</v>
      </c>
      <c r="D598" s="6" t="s">
        <v>12</v>
      </c>
      <c r="E598" s="6" t="s">
        <v>13</v>
      </c>
      <c r="F598" s="6" t="s">
        <v>14</v>
      </c>
      <c r="G598" s="6" t="s">
        <v>15</v>
      </c>
      <c r="H598" s="6" t="s">
        <v>16</v>
      </c>
      <c r="I598" s="6" t="s">
        <v>17</v>
      </c>
      <c r="J598" s="6" t="s">
        <v>18</v>
      </c>
      <c r="K598" s="1"/>
    </row>
    <row r="599" ht="15.75" customHeight="1" spans="1:11">
      <c r="A599" s="7">
        <v>401</v>
      </c>
      <c r="B599" s="43"/>
      <c r="C599" s="7"/>
      <c r="D599" s="7" t="str">
        <f>IF(D11="","",IF(H599="","",D11))</f>
        <v/>
      </c>
      <c r="E599" s="7"/>
      <c r="F599" s="7"/>
      <c r="G599" s="7"/>
      <c r="H599" s="10" t="str">
        <f>IF(AND(E599="",F599="",G599=""),"",IF(SUM(E599:G599)&gt;100,"ERROR",IF(AND(E10="TEST",SUM(E599:G599)&lt;=100),SUM(E599:G599),IF(AND(E10="*TEST",F599="",E599&lt;=30,G599&lt;=70),SUM(E599:G599),IF(AND(E10="*TEST",F599&lt;=20,E599&lt;=20,G599&lt;=60),SUM(E599:G599),IF(AND(E10="*TEST",F599="-",E599&lt;=20,G599&lt;=60),SUM(E599:G599),"ERROR"))))))</f>
        <v/>
      </c>
      <c r="I599" s="7" t="str">
        <f>IF(H599="ERROR","ERROR",IF(H599="","",IF(AND(F10="*LAB",F599="-"),"F",IF(H599&gt;69.5,"A",IF(H599&gt;59.5,"B",IF(H599&gt;49.5,"C",IF(AND(D10="*PROGRAM",H599&lt;49.5),"F",IF(H599&gt;44.5,"D",IF(H599&gt;39.5,"E","F")))))))))</f>
        <v/>
      </c>
      <c r="J599" s="7" t="str">
        <f t="shared" ref="J599:J638" si="30">IF(H599="ERROR","ERROR",IF(I599="","",IF(I599="F","FAIL","PASS")))</f>
        <v/>
      </c>
      <c r="K599" s="1"/>
    </row>
    <row r="600" ht="15.75" customHeight="1" spans="1:11">
      <c r="A600" s="7">
        <v>402</v>
      </c>
      <c r="B600" s="43"/>
      <c r="C600" s="7"/>
      <c r="D600" s="7" t="str">
        <f>IF(D11="","",IF(H600="","",D11))</f>
        <v/>
      </c>
      <c r="E600" s="7"/>
      <c r="F600" s="7"/>
      <c r="G600" s="7"/>
      <c r="H600" s="10" t="str">
        <f>IF(AND(E600="",F600="",G600=""),"",IF(SUM(E600:G600)&gt;100,"ERROR",IF(AND(E10="TEST",SUM(E600:G600)&lt;=100),SUM(E600:G600),IF(AND(E10="*TEST",F600="",E600&lt;=30,G600&lt;=70),SUM(E600:G600),IF(AND(E10="*TEST",F600&lt;=20,E600&lt;=20,G600&lt;=60),SUM(E600:G600),IF(AND(E10="*TEST",F600="-",E600&lt;=20,G600&lt;=60),SUM(E600:G600),"ERROR"))))))</f>
        <v/>
      </c>
      <c r="I600" s="7" t="str">
        <f>IF(H600="ERROR","ERROR",IF(H600="","",IF(AND(F10="*LAB",F600="-"),"F",IF(H600&gt;69.5,"A",IF(H600&gt;59.5,"B",IF(H600&gt;49.5,"C",IF(AND(D10="*PROGRAM",H600&lt;49.5),"F",IF(H600&gt;44.5,"D",IF(H600&gt;39.5,"E","F")))))))))</f>
        <v/>
      </c>
      <c r="J600" s="7" t="str">
        <f t="shared" si="30"/>
        <v/>
      </c>
      <c r="K600" s="1"/>
    </row>
    <row r="601" ht="15.75" customHeight="1" spans="1:11">
      <c r="A601" s="7">
        <v>403</v>
      </c>
      <c r="B601" s="43"/>
      <c r="C601" s="7"/>
      <c r="D601" s="7" t="str">
        <f>IF(D11="","",IF(H601="","",D11))</f>
        <v/>
      </c>
      <c r="E601" s="7"/>
      <c r="F601" s="7"/>
      <c r="G601" s="7"/>
      <c r="H601" s="10" t="str">
        <f>IF(AND(E601="",F601="",G601=""),"",IF(SUM(E601:G601)&gt;100,"ERROR",IF(AND(E10="TEST",SUM(E601:G601)&lt;=100),SUM(E601:G601),IF(AND(E10="*TEST",F601="",E601&lt;=30,G601&lt;=70),SUM(E601:G601),IF(AND(E10="*TEST",F601&lt;=20,E601&lt;=20,G601&lt;=60),SUM(E601:G601),IF(AND(E10="*TEST",F601="-",E601&lt;=20,G601&lt;=60),SUM(E601:G601),"ERROR"))))))</f>
        <v/>
      </c>
      <c r="I601" s="7" t="str">
        <f>IF(H601="ERROR","ERROR",IF(H601="","",IF(AND(F10="*LAB",F601="-"),"F",IF(H601&gt;69.5,"A",IF(H601&gt;59.5,"B",IF(H601&gt;49.5,"C",IF(AND(D10="*PROGRAM",H601&lt;49.5),"F",IF(H601&gt;44.5,"D",IF(H601&gt;39.5,"E","F")))))))))</f>
        <v/>
      </c>
      <c r="J601" s="7" t="str">
        <f t="shared" si="30"/>
        <v/>
      </c>
      <c r="K601" s="1"/>
    </row>
    <row r="602" ht="15.75" customHeight="1" spans="1:11">
      <c r="A602" s="7">
        <v>404</v>
      </c>
      <c r="B602" s="43"/>
      <c r="C602" s="7"/>
      <c r="D602" s="7" t="str">
        <f>IF(D11="","",IF(H602="","",D11))</f>
        <v/>
      </c>
      <c r="E602" s="7"/>
      <c r="F602" s="7"/>
      <c r="G602" s="7"/>
      <c r="H602" s="10" t="str">
        <f>IF(AND(E602="",F602="",G602=""),"",IF(SUM(E602:G602)&gt;100,"ERROR",IF(AND(E10="TEST",SUM(E602:G602)&lt;=100),SUM(E602:G602),IF(AND(E10="*TEST",F602="",E602&lt;=30,G602&lt;=70),SUM(E602:G602),IF(AND(E10="*TEST",F602&lt;=20,E602&lt;=20,G602&lt;=60),SUM(E602:G602),IF(AND(E10="*TEST",F602="-",E602&lt;=20,G602&lt;=60),SUM(E602:G602),"ERROR"))))))</f>
        <v/>
      </c>
      <c r="I602" s="7" t="str">
        <f>IF(H602="ERROR","ERROR",IF(H602="","",IF(AND(F10="*LAB",F602="-"),"F",IF(H602&gt;69.5,"A",IF(H602&gt;59.5,"B",IF(H602&gt;49.5,"C",IF(AND(D10="*PROGRAM",H602&lt;49.5),"F",IF(H602&gt;44.5,"D",IF(H602&gt;39.5,"E","F")))))))))</f>
        <v/>
      </c>
      <c r="J602" s="7" t="str">
        <f t="shared" si="30"/>
        <v/>
      </c>
      <c r="K602" s="1"/>
    </row>
    <row r="603" ht="15.75" customHeight="1" spans="1:11">
      <c r="A603" s="7">
        <v>405</v>
      </c>
      <c r="B603" s="43"/>
      <c r="C603" s="7"/>
      <c r="D603" s="7" t="str">
        <f>IF(D11="","",IF(H603="","",D11))</f>
        <v/>
      </c>
      <c r="E603" s="7"/>
      <c r="F603" s="7"/>
      <c r="G603" s="7"/>
      <c r="H603" s="10" t="str">
        <f>IF(AND(E603="",F603="",G603=""),"",IF(SUM(E603:G603)&gt;100,"ERROR",IF(AND(E10="TEST",SUM(E603:G603)&lt;=100),SUM(E603:G603),IF(AND(E10="*TEST",F603="",E603&lt;=30,G603&lt;=70),SUM(E603:G603),IF(AND(E10="*TEST",F603&lt;=20,E603&lt;=20,G603&lt;=60),SUM(E603:G603),IF(AND(E10="*TEST",F603="-",E603&lt;=20,G603&lt;=60),SUM(E603:G603),"ERROR"))))))</f>
        <v/>
      </c>
      <c r="I603" s="7" t="str">
        <f>IF(H603="ERROR","ERROR",IF(H603="","",IF(AND(F10="*LAB",F603="-"),"F",IF(H603&gt;69.5,"A",IF(H603&gt;59.5,"B",IF(H603&gt;49.5,"C",IF(AND(D10="*PROGRAM",H603&lt;49.5),"F",IF(H603&gt;44.5,"D",IF(H603&gt;39.5,"E","F")))))))))</f>
        <v/>
      </c>
      <c r="J603" s="7" t="str">
        <f t="shared" si="30"/>
        <v/>
      </c>
      <c r="K603" s="1"/>
    </row>
    <row r="604" ht="15.75" customHeight="1" spans="1:11">
      <c r="A604" s="7">
        <v>406</v>
      </c>
      <c r="B604" s="43"/>
      <c r="C604" s="7"/>
      <c r="D604" s="7" t="str">
        <f>IF(D11="","",IF(H604="","",D11))</f>
        <v/>
      </c>
      <c r="E604" s="7"/>
      <c r="F604" s="7"/>
      <c r="G604" s="7"/>
      <c r="H604" s="10" t="str">
        <f>IF(AND(E604="",F604="",G604=""),"",IF(SUM(E604:G604)&gt;100,"ERROR",IF(AND(E10="TEST",SUM(E604:G604)&lt;=100),SUM(E604:G604),IF(AND(E10="*TEST",F604="",E604&lt;=30,G604&lt;=70),SUM(E604:G604),IF(AND(E10="*TEST",F604&lt;=20,E604&lt;=20,G604&lt;=60),SUM(E604:G604),IF(AND(E10="*TEST",F604="-",E604&lt;=20,G604&lt;=60),SUM(E604:G604),"ERROR"))))))</f>
        <v/>
      </c>
      <c r="I604" s="7" t="str">
        <f>IF(H604="ERROR","ERROR",IF(H604="","",IF(AND(F10="*LAB",F604="-"),"F",IF(H604&gt;69.5,"A",IF(H604&gt;59.5,"B",IF(H604&gt;49.5,"C",IF(AND(D10="*PROGRAM",H604&lt;49.5),"F",IF(H604&gt;44.5,"D",IF(H604&gt;39.5,"E","F")))))))))</f>
        <v/>
      </c>
      <c r="J604" s="7" t="str">
        <f t="shared" si="30"/>
        <v/>
      </c>
      <c r="K604" s="1"/>
    </row>
    <row r="605" ht="15.75" customHeight="1" spans="1:11">
      <c r="A605" s="7">
        <v>407</v>
      </c>
      <c r="B605" s="43"/>
      <c r="C605" s="7"/>
      <c r="D605" s="7" t="str">
        <f>IF(D11="","",IF(H605="","",D11))</f>
        <v/>
      </c>
      <c r="E605" s="7"/>
      <c r="F605" s="7"/>
      <c r="G605" s="7"/>
      <c r="H605" s="10" t="str">
        <f>IF(AND(E605="",F605="",G605=""),"",IF(SUM(E605:G605)&gt;100,"ERROR",IF(AND(E10="TEST",SUM(E605:G605)&lt;=100),SUM(E605:G605),IF(AND(E10="*TEST",F605="",E605&lt;=30,G605&lt;=70),SUM(E605:G605),IF(AND(E10="*TEST",F605&lt;=20,E605&lt;=20,G605&lt;=60),SUM(E605:G605),IF(AND(E10="*TEST",F605="-",E605&lt;=20,G605&lt;=60),SUM(E605:G605),"ERROR"))))))</f>
        <v/>
      </c>
      <c r="I605" s="7" t="str">
        <f>IF(H605="ERROR","ERROR",IF(H605="","",IF(AND(F10="*LAB",F605="-"),"F",IF(H605&gt;69.5,"A",IF(H605&gt;59.5,"B",IF(H605&gt;49.5,"C",IF(AND(D10="*PROGRAM",H605&lt;49.5),"F",IF(H605&gt;44.5,"D",IF(H605&gt;39.5,"E","F")))))))))</f>
        <v/>
      </c>
      <c r="J605" s="7" t="str">
        <f t="shared" si="30"/>
        <v/>
      </c>
      <c r="K605" s="1"/>
    </row>
    <row r="606" ht="15.75" customHeight="1" spans="1:11">
      <c r="A606" s="7">
        <v>408</v>
      </c>
      <c r="B606" s="43"/>
      <c r="C606" s="7"/>
      <c r="D606" s="7" t="str">
        <f>IF(D11="","",IF(H606="","",D11))</f>
        <v/>
      </c>
      <c r="E606" s="7"/>
      <c r="F606" s="7"/>
      <c r="G606" s="7"/>
      <c r="H606" s="10" t="str">
        <f>IF(AND(E606="",F606="",G606=""),"",IF(SUM(E606:G606)&gt;100,"ERROR",IF(AND(E10="TEST",SUM(E606:G606)&lt;=100),SUM(E606:G606),IF(AND(E10="*TEST",F606="",E606&lt;=30,G606&lt;=70),SUM(E606:G606),IF(AND(E10="*TEST",F606&lt;=20,E606&lt;=20,G606&lt;=60),SUM(E606:G606),IF(AND(E10="*TEST",F606="-",E606&lt;=20,G606&lt;=60),SUM(E606:G606),"ERROR"))))))</f>
        <v/>
      </c>
      <c r="I606" s="7" t="str">
        <f>IF(H606="ERROR","ERROR",IF(H606="","",IF(AND(F10="*LAB",F606="-"),"F",IF(H606&gt;69.5,"A",IF(H606&gt;59.5,"B",IF(H606&gt;49.5,"C",IF(AND(D10="*PROGRAM",H606&lt;49.5),"F",IF(H606&gt;44.5,"D",IF(H606&gt;39.5,"E","F")))))))))</f>
        <v/>
      </c>
      <c r="J606" s="7" t="str">
        <f t="shared" si="30"/>
        <v/>
      </c>
      <c r="K606" s="1"/>
    </row>
    <row r="607" ht="15.75" customHeight="1" spans="1:11">
      <c r="A607" s="7">
        <v>409</v>
      </c>
      <c r="B607" s="43"/>
      <c r="C607" s="7"/>
      <c r="D607" s="7" t="str">
        <f>IF(D11="","",IF(H607="","",D11))</f>
        <v/>
      </c>
      <c r="E607" s="7"/>
      <c r="F607" s="7"/>
      <c r="G607" s="7"/>
      <c r="H607" s="10" t="str">
        <f>IF(AND(E607="",F607="",G607=""),"",IF(SUM(E607:G607)&gt;100,"ERROR",IF(AND(E10="TEST",SUM(E607:G607)&lt;=100),SUM(E607:G607),IF(AND(E10="*TEST",F607="",E607&lt;=30,G607&lt;=70),SUM(E607:G607),IF(AND(E10="*TEST",F607&lt;=20,E607&lt;=20,G607&lt;=60),SUM(E607:G607),IF(AND(E10="*TEST",F607="-",E607&lt;=20,G607&lt;=60),SUM(E607:G607),"ERROR"))))))</f>
        <v/>
      </c>
      <c r="I607" s="7" t="str">
        <f>IF(H607="ERROR","ERROR",IF(H607="","",IF(AND(F10="*LAB",F607="-"),"F",IF(H607&gt;69.5,"A",IF(H607&gt;59.5,"B",IF(H607&gt;49.5,"C",IF(AND(D10="*PROGRAM",H607&lt;49.5),"F",IF(H607&gt;44.5,"D",IF(H607&gt;39.5,"E","F")))))))))</f>
        <v/>
      </c>
      <c r="J607" s="7" t="str">
        <f t="shared" si="30"/>
        <v/>
      </c>
      <c r="K607" s="1"/>
    </row>
    <row r="608" ht="15.75" customHeight="1" spans="1:11">
      <c r="A608" s="7">
        <v>410</v>
      </c>
      <c r="B608" s="43"/>
      <c r="C608" s="7"/>
      <c r="D608" s="7" t="str">
        <f>IF(D11="","",IF(H608="","",D11))</f>
        <v/>
      </c>
      <c r="E608" s="7"/>
      <c r="F608" s="7"/>
      <c r="G608" s="7"/>
      <c r="H608" s="10" t="str">
        <f>IF(AND(E608="",F608="",G608=""),"",IF(SUM(E608:G608)&gt;100,"ERROR",IF(AND(E10="TEST",SUM(E608:G608)&lt;=100),SUM(E608:G608),IF(AND(E10="*TEST",F608="",E608&lt;=30,G608&lt;=70),SUM(E608:G608),IF(AND(E10="*TEST",F608&lt;=20,E608&lt;=20,G608&lt;=60),SUM(E608:G608),IF(AND(E10="*TEST",F608="-",E608&lt;=20,G608&lt;=60),SUM(E608:G608),"ERROR"))))))</f>
        <v/>
      </c>
      <c r="I608" s="7" t="str">
        <f>IF(H608="ERROR","ERROR",IF(H608="","",IF(AND(F10="*LAB",F608="-"),"F",IF(H608&gt;69.5,"A",IF(H608&gt;59.5,"B",IF(H608&gt;49.5,"C",IF(AND(D10="*PROGRAM",H608&lt;49.5),"F",IF(H608&gt;44.5,"D",IF(H608&gt;39.5,"E","F")))))))))</f>
        <v/>
      </c>
      <c r="J608" s="7" t="str">
        <f t="shared" si="30"/>
        <v/>
      </c>
      <c r="K608" s="1"/>
    </row>
    <row r="609" ht="15.75" customHeight="1" spans="1:11">
      <c r="A609" s="7">
        <v>411</v>
      </c>
      <c r="B609" s="43"/>
      <c r="C609" s="7"/>
      <c r="D609" s="7" t="str">
        <f>IF(D11="","",IF(H609="","",D11))</f>
        <v/>
      </c>
      <c r="E609" s="7"/>
      <c r="F609" s="7"/>
      <c r="G609" s="7"/>
      <c r="H609" s="10" t="str">
        <f>IF(AND(E609="",F609="",G609=""),"",IF(SUM(E609:G609)&gt;100,"ERROR",IF(AND(E10="TEST",SUM(E609:G609)&lt;=100),SUM(E609:G609),IF(AND(E10="*TEST",F609="",E609&lt;=30,G609&lt;=70),SUM(E609:G609),IF(AND(E10="*TEST",F609&lt;=20,E609&lt;=20,G609&lt;=60),SUM(E609:G609),IF(AND(E10="*TEST",F609="-",E609&lt;=20,G609&lt;=60),SUM(E609:G609),"ERROR"))))))</f>
        <v/>
      </c>
      <c r="I609" s="7" t="str">
        <f>IF(H609="ERROR","ERROR",IF(H609="","",IF(AND(F10="*LAB",F609="-"),"F",IF(H609&gt;69.5,"A",IF(H609&gt;59.5,"B",IF(H609&gt;49.5,"C",IF(AND(D10="*PROGRAM",H609&lt;49.5),"F",IF(H609&gt;44.5,"D",IF(H609&gt;39.5,"E","F")))))))))</f>
        <v/>
      </c>
      <c r="J609" s="7" t="str">
        <f t="shared" si="30"/>
        <v/>
      </c>
      <c r="K609" s="1"/>
    </row>
    <row r="610" ht="15.75" customHeight="1" spans="1:11">
      <c r="A610" s="7">
        <v>412</v>
      </c>
      <c r="B610" s="43"/>
      <c r="C610" s="7"/>
      <c r="D610" s="7" t="str">
        <f>IF(D11="","",IF(H610="","",D11))</f>
        <v/>
      </c>
      <c r="E610" s="7"/>
      <c r="F610" s="7"/>
      <c r="G610" s="7"/>
      <c r="H610" s="10" t="str">
        <f>IF(AND(E610="",F610="",G610=""),"",IF(SUM(E610:G610)&gt;100,"ERROR",IF(AND(E10="TEST",SUM(E610:G610)&lt;=100),SUM(E610:G610),IF(AND(E10="*TEST",F610="",E610&lt;=30,G610&lt;=70),SUM(E610:G610),IF(AND(E10="*TEST",F610&lt;=20,E610&lt;=20,G610&lt;=60),SUM(E610:G610),IF(AND(E10="*TEST",F610="-",E610&lt;=20,G610&lt;=60),SUM(E610:G610),"ERROR"))))))</f>
        <v/>
      </c>
      <c r="I610" s="7" t="str">
        <f>IF(H610="ERROR","ERROR",IF(H610="","",IF(AND(F10="*LAB",F610="-"),"F",IF(H610&gt;69.5,"A",IF(H610&gt;59.5,"B",IF(H610&gt;49.5,"C",IF(AND(D10="*PROGRAM",H610&lt;49.5),"F",IF(H610&gt;44.5,"D",IF(H610&gt;39.5,"E","F")))))))))</f>
        <v/>
      </c>
      <c r="J610" s="7" t="str">
        <f t="shared" si="30"/>
        <v/>
      </c>
      <c r="K610" s="1"/>
    </row>
    <row r="611" ht="15.75" customHeight="1" spans="1:11">
      <c r="A611" s="7">
        <v>413</v>
      </c>
      <c r="B611" s="43"/>
      <c r="C611" s="7"/>
      <c r="D611" s="7" t="str">
        <f>IF(D11="","",IF(H611="","",D11))</f>
        <v/>
      </c>
      <c r="E611" s="7"/>
      <c r="F611" s="7"/>
      <c r="G611" s="7"/>
      <c r="H611" s="10" t="str">
        <f>IF(AND(E611="",F611="",G611=""),"",IF(SUM(E611:G611)&gt;100,"ERROR",IF(AND(E10="TEST",SUM(E611:G611)&lt;=100),SUM(E611:G611),IF(AND(E10="*TEST",F611="",E611&lt;=30,G611&lt;=70),SUM(E611:G611),IF(AND(E10="*TEST",F611&lt;=20,E611&lt;=20,G611&lt;=60),SUM(E611:G611),IF(AND(E10="*TEST",F611="-",E611&lt;=20,G611&lt;=60),SUM(E611:G611),"ERROR"))))))</f>
        <v/>
      </c>
      <c r="I611" s="7" t="str">
        <f>IF(H611="ERROR","ERROR",IF(H611="","",IF(AND(F10="*LAB",F611="-"),"F",IF(H611&gt;69.5,"A",IF(H611&gt;59.5,"B",IF(H611&gt;49.5,"C",IF(AND(D10="*PROGRAM",H611&lt;49.5),"F",IF(H611&gt;44.5,"D",IF(H611&gt;39.5,"E","F")))))))))</f>
        <v/>
      </c>
      <c r="J611" s="7" t="str">
        <f t="shared" si="30"/>
        <v/>
      </c>
      <c r="K611" s="1"/>
    </row>
    <row r="612" ht="15.75" customHeight="1" spans="1:11">
      <c r="A612" s="7">
        <v>414</v>
      </c>
      <c r="B612" s="43"/>
      <c r="C612" s="7"/>
      <c r="D612" s="7" t="str">
        <f>IF(D11="","",IF(H612="","",D11))</f>
        <v/>
      </c>
      <c r="E612" s="7"/>
      <c r="F612" s="7"/>
      <c r="G612" s="7"/>
      <c r="H612" s="10" t="str">
        <f>IF(AND(E612="",F612="",G612=""),"",IF(SUM(E612:G612)&gt;100,"ERROR",IF(AND(E10="TEST",SUM(E612:G612)&lt;=100),SUM(E612:G612),IF(AND(E10="*TEST",F612="",E612&lt;=30,G612&lt;=70),SUM(E612:G612),IF(AND(E10="*TEST",F612&lt;=20,E612&lt;=20,G612&lt;=60),SUM(E612:G612),IF(AND(E10="*TEST",F612="-",E612&lt;=20,G612&lt;=60),SUM(E612:G612),"ERROR"))))))</f>
        <v/>
      </c>
      <c r="I612" s="7" t="str">
        <f>IF(H612="ERROR","ERROR",IF(H612="","",IF(AND(F10="*LAB",F612="-"),"F",IF(H612&gt;69.5,"A",IF(H612&gt;59.5,"B",IF(H612&gt;49.5,"C",IF(AND(D10="*PROGRAM",H612&lt;49.5),"F",IF(H612&gt;44.5,"D",IF(H612&gt;39.5,"E","F")))))))))</f>
        <v/>
      </c>
      <c r="J612" s="7" t="str">
        <f t="shared" si="30"/>
        <v/>
      </c>
      <c r="K612" s="1"/>
    </row>
    <row r="613" ht="15.75" customHeight="1" spans="1:11">
      <c r="A613" s="7">
        <v>415</v>
      </c>
      <c r="B613" s="43"/>
      <c r="C613" s="7"/>
      <c r="D613" s="7" t="str">
        <f>IF(D11="","",IF(H613="","",D11))</f>
        <v/>
      </c>
      <c r="E613" s="7"/>
      <c r="F613" s="7"/>
      <c r="G613" s="7"/>
      <c r="H613" s="10" t="str">
        <f>IF(AND(E613="",F613="",G613=""),"",IF(SUM(E613:G613)&gt;100,"ERROR",IF(AND(E10="TEST",SUM(E613:G613)&lt;=100),SUM(E613:G613),IF(AND(E10="*TEST",F613="",E613&lt;=30,G613&lt;=70),SUM(E613:G613),IF(AND(E10="*TEST",F613&lt;=20,E613&lt;=20,G613&lt;=60),SUM(E613:G613),IF(AND(E10="*TEST",F613="-",E613&lt;=20,G613&lt;=60),SUM(E613:G613),"ERROR"))))))</f>
        <v/>
      </c>
      <c r="I613" s="7" t="str">
        <f>IF(H613="ERROR","ERROR",IF(H613="","",IF(AND(F10="*LAB",F613="-"),"F",IF(H613&gt;69.5,"A",IF(H613&gt;59.5,"B",IF(H613&gt;49.5,"C",IF(AND(D10="*PROGRAM",H613&lt;49.5),"F",IF(H613&gt;44.5,"D",IF(H613&gt;39.5,"E","F")))))))))</f>
        <v/>
      </c>
      <c r="J613" s="7" t="str">
        <f t="shared" si="30"/>
        <v/>
      </c>
      <c r="K613" s="1"/>
    </row>
    <row r="614" ht="15.75" customHeight="1" spans="1:11">
      <c r="A614" s="7">
        <v>416</v>
      </c>
      <c r="B614" s="43"/>
      <c r="C614" s="7"/>
      <c r="D614" s="7" t="str">
        <f>IF(D11="","",IF(H614="","",D11))</f>
        <v/>
      </c>
      <c r="E614" s="7"/>
      <c r="F614" s="7"/>
      <c r="G614" s="7"/>
      <c r="H614" s="10" t="str">
        <f>IF(AND(E614="",F614="",G614=""),"",IF(SUM(E614:G614)&gt;100,"ERROR",IF(AND(E10="TEST",SUM(E614:G614)&lt;=100),SUM(E614:G614),IF(AND(E10="*TEST",F614="",E614&lt;=30,G614&lt;=70),SUM(E614:G614),IF(AND(E10="*TEST",F614&lt;=20,E614&lt;=20,G614&lt;=60),SUM(E614:G614),IF(AND(E10="*TEST",F614="-",E614&lt;=20,G614&lt;=60),SUM(E614:G614),"ERROR"))))))</f>
        <v/>
      </c>
      <c r="I614" s="7" t="str">
        <f>IF(H614="ERROR","ERROR",IF(H614="","",IF(AND(F10="*LAB",F614="-"),"F",IF(H614&gt;69.5,"A",IF(H614&gt;59.5,"B",IF(H614&gt;49.5,"C",IF(AND(D10="*PROGRAM",H614&lt;49.5),"F",IF(H614&gt;44.5,"D",IF(H614&gt;39.5,"E","F")))))))))</f>
        <v/>
      </c>
      <c r="J614" s="7" t="str">
        <f t="shared" si="30"/>
        <v/>
      </c>
      <c r="K614" s="1"/>
    </row>
    <row r="615" ht="15.75" customHeight="1" spans="1:11">
      <c r="A615" s="7">
        <v>417</v>
      </c>
      <c r="B615" s="43"/>
      <c r="C615" s="7"/>
      <c r="D615" s="7" t="str">
        <f>IF(D11="","",IF(H615="","",D11))</f>
        <v/>
      </c>
      <c r="E615" s="7"/>
      <c r="F615" s="7"/>
      <c r="G615" s="7"/>
      <c r="H615" s="10" t="str">
        <f>IF(AND(E615="",F615="",G615=""),"",IF(SUM(E615:G615)&gt;100,"ERROR",IF(AND(E10="TEST",SUM(E615:G615)&lt;=100),SUM(E615:G615),IF(AND(E10="*TEST",F615="",E615&lt;=30,G615&lt;=70),SUM(E615:G615),IF(AND(E10="*TEST",F615&lt;=20,E615&lt;=20,G615&lt;=60),SUM(E615:G615),IF(AND(E10="*TEST",F615="-",E615&lt;=20,G615&lt;=60),SUM(E615:G615),"ERROR"))))))</f>
        <v/>
      </c>
      <c r="I615" s="7" t="str">
        <f>IF(H615="ERROR","ERROR",IF(H615="","",IF(AND(F10="*LAB",F615="-"),"F",IF(H615&gt;69.5,"A",IF(H615&gt;59.5,"B",IF(H615&gt;49.5,"C",IF(AND(D10="*PROGRAM",H615&lt;49.5),"F",IF(H615&gt;44.5,"D",IF(H615&gt;39.5,"E","F")))))))))</f>
        <v/>
      </c>
      <c r="J615" s="7" t="str">
        <f t="shared" si="30"/>
        <v/>
      </c>
      <c r="K615" s="1"/>
    </row>
    <row r="616" ht="15.75" customHeight="1" spans="1:11">
      <c r="A616" s="7">
        <v>418</v>
      </c>
      <c r="B616" s="43"/>
      <c r="C616" s="7"/>
      <c r="D616" s="7" t="str">
        <f>IF(D11="","",IF(H616="","",D11))</f>
        <v/>
      </c>
      <c r="E616" s="7"/>
      <c r="F616" s="7"/>
      <c r="G616" s="7"/>
      <c r="H616" s="10" t="str">
        <f>IF(AND(E616="",F616="",G616=""),"",IF(SUM(E616:G616)&gt;100,"ERROR",IF(AND(E10="TEST",SUM(E616:G616)&lt;=100),SUM(E616:G616),IF(AND(E10="*TEST",F616="",E616&lt;=30,G616&lt;=70),SUM(E616:G616),IF(AND(E10="*TEST",F616&lt;=20,E616&lt;=20,G616&lt;=60),SUM(E616:G616),IF(AND(E10="*TEST",F616="-",E616&lt;=20,G616&lt;=60),SUM(E616:G616),"ERROR"))))))</f>
        <v/>
      </c>
      <c r="I616" s="7" t="str">
        <f>IF(H616="ERROR","ERROR",IF(H616="","",IF(AND(F10="*LAB",F616="-"),"F",IF(H616&gt;69.5,"A",IF(H616&gt;59.5,"B",IF(H616&gt;49.5,"C",IF(AND(D10="*PROGRAM",H616&lt;49.5),"F",IF(H616&gt;44.5,"D",IF(H616&gt;39.5,"E","F")))))))))</f>
        <v/>
      </c>
      <c r="J616" s="7" t="str">
        <f t="shared" si="30"/>
        <v/>
      </c>
      <c r="K616" s="1"/>
    </row>
    <row r="617" ht="15.75" customHeight="1" spans="1:11">
      <c r="A617" s="7">
        <v>419</v>
      </c>
      <c r="B617" s="43"/>
      <c r="C617" s="7"/>
      <c r="D617" s="7" t="str">
        <f>IF(D11="","",IF(H617="","",D11))</f>
        <v/>
      </c>
      <c r="E617" s="7"/>
      <c r="F617" s="7"/>
      <c r="G617" s="7"/>
      <c r="H617" s="10" t="str">
        <f>IF(AND(E617="",F617="",G617=""),"",IF(SUM(E617:G617)&gt;100,"ERROR",IF(AND(E10="TEST",SUM(E617:G617)&lt;=100),SUM(E617:G617),IF(AND(E10="*TEST",F617="",E617&lt;=30,G617&lt;=70),SUM(E617:G617),IF(AND(E10="*TEST",F617&lt;=20,E617&lt;=20,G617&lt;=60),SUM(E617:G617),IF(AND(E10="*TEST",F617="-",E617&lt;=20,G617&lt;=60),SUM(E617:G617),"ERROR"))))))</f>
        <v/>
      </c>
      <c r="I617" s="7" t="str">
        <f>IF(H617="ERROR","ERROR",IF(H617="","",IF(AND(F10="*LAB",F617="-"),"F",IF(H617&gt;69.5,"A",IF(H617&gt;59.5,"B",IF(H617&gt;49.5,"C",IF(AND(D10="*PROGRAM",H617&lt;49.5),"F",IF(H617&gt;44.5,"D",IF(H617&gt;39.5,"E","F")))))))))</f>
        <v/>
      </c>
      <c r="J617" s="7" t="str">
        <f t="shared" si="30"/>
        <v/>
      </c>
      <c r="K617" s="1"/>
    </row>
    <row r="618" ht="15.75" customHeight="1" spans="1:11">
      <c r="A618" s="7">
        <v>420</v>
      </c>
      <c r="B618" s="43"/>
      <c r="C618" s="7"/>
      <c r="D618" s="7" t="str">
        <f>IF(D11="","",IF(H618="","",D11))</f>
        <v/>
      </c>
      <c r="E618" s="7"/>
      <c r="F618" s="7"/>
      <c r="G618" s="7"/>
      <c r="H618" s="10" t="str">
        <f>IF(AND(E618="",F618="",G618=""),"",IF(SUM(E618:G618)&gt;100,"ERROR",IF(AND(E10="TEST",SUM(E618:G618)&lt;=100),SUM(E618:G618),IF(AND(E10="*TEST",F618="",E618&lt;=30,G618&lt;=70),SUM(E618:G618),IF(AND(E10="*TEST",F618&lt;=20,E618&lt;=20,G618&lt;=60),SUM(E618:G618),IF(AND(E10="*TEST",F618="-",E618&lt;=20,G618&lt;=60),SUM(E618:G618),"ERROR"))))))</f>
        <v/>
      </c>
      <c r="I618" s="7" t="str">
        <f>IF(H618="ERROR","ERROR",IF(H618="","",IF(AND(F10="*LAB",F618="-"),"F",IF(H618&gt;69.5,"A",IF(H618&gt;59.5,"B",IF(H618&gt;49.5,"C",IF(AND(D10="*PROGRAM",H618&lt;49.5),"F",IF(H618&gt;44.5,"D",IF(H618&gt;39.5,"E","F")))))))))</f>
        <v/>
      </c>
      <c r="J618" s="7" t="str">
        <f t="shared" si="30"/>
        <v/>
      </c>
      <c r="K618" s="1"/>
    </row>
    <row r="619" ht="15.75" customHeight="1" spans="1:11">
      <c r="A619" s="7">
        <v>421</v>
      </c>
      <c r="B619" s="43"/>
      <c r="C619" s="7"/>
      <c r="D619" s="7" t="str">
        <f>IF(D11="","",IF(H619="","",D11))</f>
        <v/>
      </c>
      <c r="E619" s="7"/>
      <c r="F619" s="7"/>
      <c r="G619" s="7"/>
      <c r="H619" s="10" t="str">
        <f>IF(AND(E619="",F619="",G619=""),"",IF(SUM(E619:G619)&gt;100,"ERROR",IF(AND(E10="TEST",SUM(E619:G619)&lt;=100),SUM(E619:G619),IF(AND(E10="*TEST",F619="",E619&lt;=30,G619&lt;=70),SUM(E619:G619),IF(AND(E10="*TEST",F619&lt;=20,E619&lt;=20,G619&lt;=60),SUM(E619:G619),IF(AND(E10="*TEST",F619="-",E619&lt;=20,G619&lt;=60),SUM(E619:G619),"ERROR"))))))</f>
        <v/>
      </c>
      <c r="I619" s="7" t="str">
        <f>IF(H619="ERROR","ERROR",IF(H619="","",IF(AND(F10="*LAB",F619="-"),"F",IF(H619&gt;69.5,"A",IF(H619&gt;59.5,"B",IF(H619&gt;49.5,"C",IF(AND(D10="*PROGRAM",H619&lt;49.5),"F",IF(H619&gt;44.5,"D",IF(H619&gt;39.5,"E","F")))))))))</f>
        <v/>
      </c>
      <c r="J619" s="7" t="str">
        <f t="shared" si="30"/>
        <v/>
      </c>
      <c r="K619" s="1"/>
    </row>
    <row r="620" ht="15.75" customHeight="1" spans="1:11">
      <c r="A620" s="7">
        <v>422</v>
      </c>
      <c r="B620" s="43"/>
      <c r="C620" s="7"/>
      <c r="D620" s="7" t="str">
        <f>IF(D11="","",IF(H620="","",D11))</f>
        <v/>
      </c>
      <c r="E620" s="7"/>
      <c r="F620" s="7"/>
      <c r="G620" s="7"/>
      <c r="H620" s="10" t="str">
        <f>IF(AND(E620="",F620="",G620=""),"",IF(SUM(E620:G620)&gt;100,"ERROR",IF(AND(E10="TEST",SUM(E620:G620)&lt;=100),SUM(E620:G620),IF(AND(E10="*TEST",F620="",E620&lt;=30,G620&lt;=70),SUM(E620:G620),IF(AND(E10="*TEST",F620&lt;=20,E620&lt;=20,G620&lt;=60),SUM(E620:G620),IF(AND(E10="*TEST",F620="-",E620&lt;=20,G620&lt;=60),SUM(E620:G620),"ERROR"))))))</f>
        <v/>
      </c>
      <c r="I620" s="7" t="str">
        <f>IF(H620="ERROR","ERROR",IF(H620="","",IF(AND(F10="*LAB",F620="-"),"F",IF(H620&gt;69.5,"A",IF(H620&gt;59.5,"B",IF(H620&gt;49.5,"C",IF(AND(D10="*PROGRAM",H620&lt;49.5),"F",IF(H620&gt;44.5,"D",IF(H620&gt;39.5,"E","F")))))))))</f>
        <v/>
      </c>
      <c r="J620" s="7" t="str">
        <f t="shared" si="30"/>
        <v/>
      </c>
      <c r="K620" s="1"/>
    </row>
    <row r="621" ht="15.75" customHeight="1" spans="1:11">
      <c r="A621" s="7">
        <v>423</v>
      </c>
      <c r="B621" s="43"/>
      <c r="C621" s="7"/>
      <c r="D621" s="7" t="str">
        <f>IF(D11="","",IF(H621="","",D11))</f>
        <v/>
      </c>
      <c r="E621" s="7"/>
      <c r="F621" s="7"/>
      <c r="G621" s="7"/>
      <c r="H621" s="10" t="str">
        <f>IF(AND(E621="",F621="",G621=""),"",IF(SUM(E621:G621)&gt;100,"ERROR",IF(AND(E10="TEST",SUM(E621:G621)&lt;=100),SUM(E621:G621),IF(AND(E10="*TEST",F621="",E621&lt;=30,G621&lt;=70),SUM(E621:G621),IF(AND(E10="*TEST",F621&lt;=20,E621&lt;=20,G621&lt;=60),SUM(E621:G621),IF(AND(E10="*TEST",F621="-",E621&lt;=20,G621&lt;=60),SUM(E621:G621),"ERROR"))))))</f>
        <v/>
      </c>
      <c r="I621" s="7" t="str">
        <f>IF(H621="ERROR","ERROR",IF(H621="","",IF(AND(F10="*LAB",F621="-"),"F",IF(H621&gt;69.5,"A",IF(H621&gt;59.5,"B",IF(H621&gt;49.5,"C",IF(AND(D10="*PROGRAM",H621&lt;49.5),"F",IF(H621&gt;44.5,"D",IF(H621&gt;39.5,"E","F")))))))))</f>
        <v/>
      </c>
      <c r="J621" s="7" t="str">
        <f t="shared" si="30"/>
        <v/>
      </c>
      <c r="K621" s="1"/>
    </row>
    <row r="622" ht="15.75" customHeight="1" spans="1:11">
      <c r="A622" s="7">
        <v>424</v>
      </c>
      <c r="B622" s="43"/>
      <c r="C622" s="7"/>
      <c r="D622" s="7" t="str">
        <f>IF(D11="","",IF(H622="","",D11))</f>
        <v/>
      </c>
      <c r="E622" s="7"/>
      <c r="F622" s="7"/>
      <c r="G622" s="7"/>
      <c r="H622" s="10" t="str">
        <f>IF(AND(E622="",F622="",G622=""),"",IF(SUM(E622:G622)&gt;100,"ERROR",IF(AND(E10="TEST",SUM(E622:G622)&lt;=100),SUM(E622:G622),IF(AND(E10="*TEST",F622="",E622&lt;=30,G622&lt;=70),SUM(E622:G622),IF(AND(E10="*TEST",F622&lt;=20,E622&lt;=20,G622&lt;=60),SUM(E622:G622),IF(AND(E10="*TEST",F622="-",E622&lt;=20,G622&lt;=60),SUM(E622:G622),"ERROR"))))))</f>
        <v/>
      </c>
      <c r="I622" s="7" t="str">
        <f>IF(H622="ERROR","ERROR",IF(H622="","",IF(AND(F10="*LAB",F622="-"),"F",IF(H622&gt;69.5,"A",IF(H622&gt;59.5,"B",IF(H622&gt;49.5,"C",IF(AND(D10="*PROGRAM",H622&lt;49.5),"F",IF(H622&gt;44.5,"D",IF(H622&gt;39.5,"E","F")))))))))</f>
        <v/>
      </c>
      <c r="J622" s="7" t="str">
        <f t="shared" si="30"/>
        <v/>
      </c>
      <c r="K622" s="1"/>
    </row>
    <row r="623" ht="15.75" customHeight="1" spans="1:11">
      <c r="A623" s="7">
        <v>425</v>
      </c>
      <c r="B623" s="43"/>
      <c r="C623" s="7"/>
      <c r="D623" s="7" t="str">
        <f>IF(D11="","",IF(H623="","",D11))</f>
        <v/>
      </c>
      <c r="E623" s="7"/>
      <c r="F623" s="7"/>
      <c r="G623" s="7"/>
      <c r="H623" s="10" t="str">
        <f>IF(AND(E623="",F623="",G623=""),"",IF(SUM(E623:G623)&gt;100,"ERROR",IF(AND(E10="TEST",SUM(E623:G623)&lt;=100),SUM(E623:G623),IF(AND(E10="*TEST",F623="",E623&lt;=30,G623&lt;=70),SUM(E623:G623),IF(AND(E10="*TEST",F623&lt;=20,E623&lt;=20,G623&lt;=60),SUM(E623:G623),IF(AND(E10="*TEST",F623="-",E623&lt;=20,G623&lt;=60),SUM(E623:G623),"ERROR"))))))</f>
        <v/>
      </c>
      <c r="I623" s="7" t="str">
        <f>IF(H623="ERROR","ERROR",IF(H623="","",IF(AND(F10="*LAB",F623="-"),"F",IF(H623&gt;69.5,"A",IF(H623&gt;59.5,"B",IF(H623&gt;49.5,"C",IF(AND(D10="*PROGRAM",H623&lt;49.5),"F",IF(H623&gt;44.5,"D",IF(H623&gt;39.5,"E","F")))))))))</f>
        <v/>
      </c>
      <c r="J623" s="7" t="str">
        <f t="shared" si="30"/>
        <v/>
      </c>
      <c r="K623" s="1"/>
    </row>
    <row r="624" ht="15.75" customHeight="1" spans="1:11">
      <c r="A624" s="7">
        <v>426</v>
      </c>
      <c r="B624" s="43"/>
      <c r="C624" s="7"/>
      <c r="D624" s="7" t="str">
        <f>IF(D11="","",IF(H624="","",D11))</f>
        <v/>
      </c>
      <c r="E624" s="7"/>
      <c r="F624" s="7"/>
      <c r="G624" s="7"/>
      <c r="H624" s="10" t="str">
        <f>IF(AND(E624="",F624="",G624=""),"",IF(SUM(E624:G624)&gt;100,"ERROR",IF(AND(E10="TEST",SUM(E624:G624)&lt;=100),SUM(E624:G624),IF(AND(E10="*TEST",F624="",E624&lt;=30,G624&lt;=70),SUM(E624:G624),IF(AND(E10="*TEST",F624&lt;=20,E624&lt;=20,G624&lt;=60),SUM(E624:G624),IF(AND(E10="*TEST",F624="-",E624&lt;=20,G624&lt;=60),SUM(E624:G624),"ERROR"))))))</f>
        <v/>
      </c>
      <c r="I624" s="7" t="str">
        <f>IF(H624="ERROR","ERROR",IF(H624="","",IF(AND(F10="*LAB",F624="-"),"F",IF(H624&gt;69.5,"A",IF(H624&gt;59.5,"B",IF(H624&gt;49.5,"C",IF(AND(D10="*PROGRAM",H624&lt;49.5),"F",IF(H624&gt;44.5,"D",IF(H624&gt;39.5,"E","F")))))))))</f>
        <v/>
      </c>
      <c r="J624" s="7" t="str">
        <f t="shared" si="30"/>
        <v/>
      </c>
      <c r="K624" s="1"/>
    </row>
    <row r="625" ht="15.75" customHeight="1" spans="1:11">
      <c r="A625" s="7">
        <v>427</v>
      </c>
      <c r="B625" s="43"/>
      <c r="C625" s="7"/>
      <c r="D625" s="7" t="str">
        <f>IF(D11="","",IF(H625="","",D11))</f>
        <v/>
      </c>
      <c r="E625" s="7"/>
      <c r="F625" s="7"/>
      <c r="G625" s="7"/>
      <c r="H625" s="10" t="str">
        <f>IF(AND(E625="",F625="",G625=""),"",IF(SUM(E625:G625)&gt;100,"ERROR",IF(AND(E10="TEST",SUM(E625:G625)&lt;=100),SUM(E625:G625),IF(AND(E10="*TEST",F625="",E625&lt;=30,G625&lt;=70),SUM(E625:G625),IF(AND(E10="*TEST",F625&lt;=20,E625&lt;=20,G625&lt;=60),SUM(E625:G625),IF(AND(E10="*TEST",F625="-",E625&lt;=20,G625&lt;=60),SUM(E625:G625),"ERROR"))))))</f>
        <v/>
      </c>
      <c r="I625" s="7" t="str">
        <f>IF(H625="ERROR","ERROR",IF(H625="","",IF(AND(F10="*LAB",F625="-"),"F",IF(H625&gt;69.5,"A",IF(H625&gt;59.5,"B",IF(H625&gt;49.5,"C",IF(AND(D10="*PROGRAM",H625&lt;49.5),"F",IF(H625&gt;44.5,"D",IF(H625&gt;39.5,"E","F")))))))))</f>
        <v/>
      </c>
      <c r="J625" s="7" t="str">
        <f t="shared" si="30"/>
        <v/>
      </c>
      <c r="K625" s="1"/>
    </row>
    <row r="626" ht="15.75" customHeight="1" spans="1:11">
      <c r="A626" s="7">
        <v>428</v>
      </c>
      <c r="B626" s="43"/>
      <c r="C626" s="7"/>
      <c r="D626" s="7" t="str">
        <f>IF(D11="","",IF(H626="","",D11))</f>
        <v/>
      </c>
      <c r="E626" s="7"/>
      <c r="F626" s="7"/>
      <c r="G626" s="7"/>
      <c r="H626" s="10" t="str">
        <f>IF(AND(E626="",F626="",G626=""),"",IF(SUM(E626:G626)&gt;100,"ERROR",IF(AND(E10="TEST",SUM(E626:G626)&lt;=100),SUM(E626:G626),IF(AND(E10="*TEST",F626="",E626&lt;=30,G626&lt;=70),SUM(E626:G626),IF(AND(E10="*TEST",F626&lt;=20,E626&lt;=20,G626&lt;=60),SUM(E626:G626),IF(AND(E10="*TEST",F626="-",E626&lt;=20,G626&lt;=60),SUM(E626:G626),"ERROR"))))))</f>
        <v/>
      </c>
      <c r="I626" s="7" t="str">
        <f>IF(H626="ERROR","ERROR",IF(H626="","",IF(AND(F10="*LAB",F626="-"),"F",IF(H626&gt;69.5,"A",IF(H626&gt;59.5,"B",IF(H626&gt;49.5,"C",IF(AND(D10="*PROGRAM",H626&lt;49.5),"F",IF(H626&gt;44.5,"D",IF(H626&gt;39.5,"E","F")))))))))</f>
        <v/>
      </c>
      <c r="J626" s="7" t="str">
        <f t="shared" si="30"/>
        <v/>
      </c>
      <c r="K626" s="1"/>
    </row>
    <row r="627" ht="15.75" customHeight="1" spans="1:11">
      <c r="A627" s="7">
        <v>429</v>
      </c>
      <c r="B627" s="43"/>
      <c r="C627" s="7"/>
      <c r="D627" s="7" t="str">
        <f>IF(D11="","",IF(H627="","",D11))</f>
        <v/>
      </c>
      <c r="E627" s="7"/>
      <c r="F627" s="7"/>
      <c r="G627" s="7"/>
      <c r="H627" s="10" t="str">
        <f>IF(AND(E627="",F627="",G627=""),"",IF(SUM(E627:G627)&gt;100,"ERROR",IF(AND(E10="TEST",SUM(E627:G627)&lt;=100),SUM(E627:G627),IF(AND(E10="*TEST",F627="",E627&lt;=30,G627&lt;=70),SUM(E627:G627),IF(AND(E10="*TEST",F627&lt;=20,E627&lt;=20,G627&lt;=60),SUM(E627:G627),IF(AND(E10="*TEST",F627="-",E627&lt;=20,G627&lt;=60),SUM(E627:G627),"ERROR"))))))</f>
        <v/>
      </c>
      <c r="I627" s="7" t="str">
        <f>IF(H627="ERROR","ERROR",IF(H627="","",IF(AND(F10="*LAB",F627="-"),"F",IF(H627&gt;69.5,"A",IF(H627&gt;59.5,"B",IF(H627&gt;49.5,"C",IF(AND(D10="*PROGRAM",H627&lt;49.5),"F",IF(H627&gt;44.5,"D",IF(H627&gt;39.5,"E","F")))))))))</f>
        <v/>
      </c>
      <c r="J627" s="7" t="str">
        <f t="shared" si="30"/>
        <v/>
      </c>
      <c r="K627" s="1"/>
    </row>
    <row r="628" ht="15.75" customHeight="1" spans="1:11">
      <c r="A628" s="7">
        <v>430</v>
      </c>
      <c r="B628" s="43"/>
      <c r="C628" s="7"/>
      <c r="D628" s="7" t="str">
        <f>IF(D11="","",IF(H628="","",D11))</f>
        <v/>
      </c>
      <c r="E628" s="7"/>
      <c r="F628" s="7"/>
      <c r="G628" s="7"/>
      <c r="H628" s="10" t="str">
        <f>IF(AND(E628="",F628="",G628=""),"",IF(SUM(E628:G628)&gt;100,"ERROR",IF(AND(E10="TEST",SUM(E628:G628)&lt;=100),SUM(E628:G628),IF(AND(E10="*TEST",F628="",E628&lt;=30,G628&lt;=70),SUM(E628:G628),IF(AND(E10="*TEST",F628&lt;=20,E628&lt;=20,G628&lt;=60),SUM(E628:G628),IF(AND(E10="*TEST",F628="-",E628&lt;=20,G628&lt;=60),SUM(E628:G628),"ERROR"))))))</f>
        <v/>
      </c>
      <c r="I628" s="7" t="str">
        <f>IF(H628="ERROR","ERROR",IF(H628="","",IF(AND(F10="*LAB",F628="-"),"F",IF(H628&gt;69.5,"A",IF(H628&gt;59.5,"B",IF(H628&gt;49.5,"C",IF(AND(D10="*PROGRAM",H628&lt;49.5),"F",IF(H628&gt;44.5,"D",IF(H628&gt;39.5,"E","F")))))))))</f>
        <v/>
      </c>
      <c r="J628" s="7" t="str">
        <f t="shared" si="30"/>
        <v/>
      </c>
      <c r="K628" s="1"/>
    </row>
    <row r="629" ht="15.75" customHeight="1" spans="1:11">
      <c r="A629" s="7">
        <v>431</v>
      </c>
      <c r="B629" s="43"/>
      <c r="C629" s="7"/>
      <c r="D629" s="7" t="str">
        <f>IF(D11="","",IF(H629="","",D11))</f>
        <v/>
      </c>
      <c r="E629" s="7"/>
      <c r="F629" s="7"/>
      <c r="G629" s="7"/>
      <c r="H629" s="10" t="str">
        <f>IF(AND(E629="",F629="",G629=""),"",IF(SUM(E629:G629)&gt;100,"ERROR",IF(AND(E10="TEST",SUM(E629:G629)&lt;=100),SUM(E629:G629),IF(AND(E10="*TEST",F629="",E629&lt;=30,G629&lt;=70),SUM(E629:G629),IF(AND(E10="*TEST",F629&lt;=20,E629&lt;=20,G629&lt;=60),SUM(E629:G629),IF(AND(E10="*TEST",F629="-",E629&lt;=20,G629&lt;=60),SUM(E629:G629),"ERROR"))))))</f>
        <v/>
      </c>
      <c r="I629" s="7" t="str">
        <f>IF(H629="ERROR","ERROR",IF(H629="","",IF(AND(F10="*LAB",F629="-"),"F",IF(H629&gt;69.5,"A",IF(H629&gt;59.5,"B",IF(H629&gt;49.5,"C",IF(AND(D10="*PROGRAM",H629&lt;49.5),"F",IF(H629&gt;44.5,"D",IF(H629&gt;39.5,"E","F")))))))))</f>
        <v/>
      </c>
      <c r="J629" s="7" t="str">
        <f t="shared" si="30"/>
        <v/>
      </c>
      <c r="K629" s="1"/>
    </row>
    <row r="630" ht="15.75" customHeight="1" spans="1:11">
      <c r="A630" s="7">
        <v>432</v>
      </c>
      <c r="B630" s="43"/>
      <c r="C630" s="7"/>
      <c r="D630" s="7" t="str">
        <f>IF(D11="","",IF(H630="","",D11))</f>
        <v/>
      </c>
      <c r="E630" s="7"/>
      <c r="F630" s="7"/>
      <c r="G630" s="7"/>
      <c r="H630" s="10" t="str">
        <f>IF(AND(E630="",F630="",G630=""),"",IF(SUM(E630:G630)&gt;100,"ERROR",IF(AND(E10="TEST",SUM(E630:G630)&lt;=100),SUM(E630:G630),IF(AND(E10="*TEST",F630="",E630&lt;=30,G630&lt;=70),SUM(E630:G630),IF(AND(E10="*TEST",F630&lt;=20,E630&lt;=20,G630&lt;=60),SUM(E630:G630),IF(AND(E10="*TEST",F630="-",E630&lt;=20,G630&lt;=60),SUM(E630:G630),"ERROR"))))))</f>
        <v/>
      </c>
      <c r="I630" s="7" t="str">
        <f>IF(H630="ERROR","ERROR",IF(H630="","",IF(AND(F10="*LAB",F630="-"),"F",IF(H630&gt;69.5,"A",IF(H630&gt;59.5,"B",IF(H630&gt;49.5,"C",IF(AND(D10="*PROGRAM",H630&lt;49.5),"F",IF(H630&gt;44.5,"D",IF(H630&gt;39.5,"E","F")))))))))</f>
        <v/>
      </c>
      <c r="J630" s="7" t="str">
        <f t="shared" si="30"/>
        <v/>
      </c>
      <c r="K630" s="1"/>
    </row>
    <row r="631" ht="15.75" customHeight="1" spans="1:11">
      <c r="A631" s="7">
        <v>433</v>
      </c>
      <c r="B631" s="43"/>
      <c r="C631" s="7"/>
      <c r="D631" s="7" t="str">
        <f>IF(D11="","",IF(H631="","",D11))</f>
        <v/>
      </c>
      <c r="E631" s="7"/>
      <c r="F631" s="7"/>
      <c r="G631" s="7"/>
      <c r="H631" s="10" t="str">
        <f>IF(AND(E631="",F631="",G631=""),"",IF(SUM(E631:G631)&gt;100,"ERROR",IF(AND(E10="TEST",SUM(E631:G631)&lt;=100),SUM(E631:G631),IF(AND(E10="*TEST",F631="",E631&lt;=30,G631&lt;=70),SUM(E631:G631),IF(AND(E10="*TEST",F631&lt;=20,E631&lt;=20,G631&lt;=60),SUM(E631:G631),IF(AND(E10="*TEST",F631="-",E631&lt;=20,G631&lt;=60),SUM(E631:G631),"ERROR"))))))</f>
        <v/>
      </c>
      <c r="I631" s="7" t="str">
        <f>IF(H631="ERROR","ERROR",IF(H631="","",IF(AND(F10="*LAB",F631="-"),"F",IF(H631&gt;69.5,"A",IF(H631&gt;59.5,"B",IF(H631&gt;49.5,"C",IF(AND(D10="*PROGRAM",H631&lt;49.5),"F",IF(H631&gt;44.5,"D",IF(H631&gt;39.5,"E","F")))))))))</f>
        <v/>
      </c>
      <c r="J631" s="7" t="str">
        <f t="shared" si="30"/>
        <v/>
      </c>
      <c r="K631" s="1"/>
    </row>
    <row r="632" ht="15.75" customHeight="1" spans="1:11">
      <c r="A632" s="7">
        <v>434</v>
      </c>
      <c r="B632" s="43"/>
      <c r="C632" s="7"/>
      <c r="D632" s="7" t="str">
        <f>IF(D11="","",IF(H632="","",D11))</f>
        <v/>
      </c>
      <c r="E632" s="7"/>
      <c r="F632" s="7"/>
      <c r="G632" s="7"/>
      <c r="H632" s="10" t="str">
        <f>IF(AND(E632="",F632="",G632=""),"",IF(SUM(E632:G632)&gt;100,"ERROR",IF(AND(E10="TEST",SUM(E632:G632)&lt;=100),SUM(E632:G632),IF(AND(E10="*TEST",F632="",E632&lt;=30,G632&lt;=70),SUM(E632:G632),IF(AND(E10="*TEST",F632&lt;=20,E632&lt;=20,G632&lt;=60),SUM(E632:G632),IF(AND(E10="*TEST",F632="-",E632&lt;=20,G632&lt;=60),SUM(E632:G632),"ERROR"))))))</f>
        <v/>
      </c>
      <c r="I632" s="7" t="str">
        <f>IF(H632="ERROR","ERROR",IF(H632="","",IF(AND(F10="*LAB",F632="-"),"F",IF(H632&gt;69.5,"A",IF(H632&gt;59.5,"B",IF(H632&gt;49.5,"C",IF(AND(D10="*PROGRAM",H632&lt;49.5),"F",IF(H632&gt;44.5,"D",IF(H632&gt;39.5,"E","F")))))))))</f>
        <v/>
      </c>
      <c r="J632" s="7" t="str">
        <f t="shared" si="30"/>
        <v/>
      </c>
      <c r="K632" s="1"/>
    </row>
    <row r="633" ht="15.75" customHeight="1" spans="1:11">
      <c r="A633" s="7">
        <v>435</v>
      </c>
      <c r="B633" s="43"/>
      <c r="C633" s="7"/>
      <c r="D633" s="7" t="str">
        <f>IF(D11="","",IF(H633="","",D11))</f>
        <v/>
      </c>
      <c r="E633" s="7"/>
      <c r="F633" s="7"/>
      <c r="G633" s="7"/>
      <c r="H633" s="10" t="str">
        <f>IF(AND(E633="",F633="",G633=""),"",IF(SUM(E633:G633)&gt;100,"ERROR",IF(AND(E10="TEST",SUM(E633:G633)&lt;=100),SUM(E633:G633),IF(AND(E10="*TEST",F633="",E633&lt;=30,G633&lt;=70),SUM(E633:G633),IF(AND(E10="*TEST",F633&lt;=20,E633&lt;=20,G633&lt;=60),SUM(E633:G633),IF(AND(E10="*TEST",F633="-",E633&lt;=20,G633&lt;=60),SUM(E633:G633),"ERROR"))))))</f>
        <v/>
      </c>
      <c r="I633" s="7" t="str">
        <f>IF(H633="ERROR","ERROR",IF(H633="","",IF(AND(F10="*LAB",F633="-"),"F",IF(H633&gt;69.5,"A",IF(H633&gt;59.5,"B",IF(H633&gt;49.5,"C",IF(AND(D10="*PROGRAM",H633&lt;49.5),"F",IF(H633&gt;44.5,"D",IF(H633&gt;39.5,"E","F")))))))))</f>
        <v/>
      </c>
      <c r="J633" s="7" t="str">
        <f t="shared" si="30"/>
        <v/>
      </c>
      <c r="K633" s="1"/>
    </row>
    <row r="634" ht="15.75" customHeight="1" spans="1:11">
      <c r="A634" s="7">
        <v>436</v>
      </c>
      <c r="B634" s="43"/>
      <c r="C634" s="7"/>
      <c r="D634" s="7" t="str">
        <f>IF(D11="","",IF(H634="","",D11))</f>
        <v/>
      </c>
      <c r="E634" s="7"/>
      <c r="F634" s="7"/>
      <c r="G634" s="7"/>
      <c r="H634" s="10" t="str">
        <f>IF(AND(E634="",F634="",G634=""),"",IF(SUM(E634:G634)&gt;100,"ERROR",IF(AND(E10="TEST",SUM(E634:G634)&lt;=100),SUM(E634:G634),IF(AND(E10="*TEST",F634="",E634&lt;=30,G634&lt;=70),SUM(E634:G634),IF(AND(E10="*TEST",F634&lt;=20,E634&lt;=20,G634&lt;=60),SUM(E634:G634),IF(AND(E10="*TEST",F634="-",E634&lt;=20,G634&lt;=60),SUM(E634:G634),"ERROR"))))))</f>
        <v/>
      </c>
      <c r="I634" s="7" t="str">
        <f>IF(H634="ERROR","ERROR",IF(H634="","",IF(AND(F10="*LAB",F634="-"),"F",IF(H634&gt;69.5,"A",IF(H634&gt;59.5,"B",IF(H634&gt;49.5,"C",IF(AND(D10="*PROGRAM",H634&lt;49.5),"F",IF(H634&gt;44.5,"D",IF(H634&gt;39.5,"E","F")))))))))</f>
        <v/>
      </c>
      <c r="J634" s="7" t="str">
        <f t="shared" si="30"/>
        <v/>
      </c>
      <c r="K634" s="1"/>
    </row>
    <row r="635" ht="15.75" customHeight="1" spans="1:11">
      <c r="A635" s="7">
        <v>437</v>
      </c>
      <c r="B635" s="43"/>
      <c r="C635" s="7"/>
      <c r="D635" s="7" t="str">
        <f>IF(D11="","",IF(H635="","",D11))</f>
        <v/>
      </c>
      <c r="E635" s="7"/>
      <c r="F635" s="7"/>
      <c r="G635" s="7"/>
      <c r="H635" s="10" t="str">
        <f>IF(AND(E635="",F635="",G635=""),"",IF(SUM(E635:G635)&gt;100,"ERROR",IF(AND(E10="TEST",SUM(E635:G635)&lt;=100),SUM(E635:G635),IF(AND(E10="*TEST",F635="",E635&lt;=30,G635&lt;=70),SUM(E635:G635),IF(AND(E10="*TEST",F635&lt;=20,E635&lt;=20,G635&lt;=60),SUM(E635:G635),IF(AND(E10="*TEST",F635="-",E635&lt;=20,G635&lt;=60),SUM(E635:G635),"ERROR"))))))</f>
        <v/>
      </c>
      <c r="I635" s="7" t="str">
        <f>IF(H635="ERROR","ERROR",IF(H635="","",IF(AND(F10="*LAB",F635="-"),"F",IF(H635&gt;69.5,"A",IF(H635&gt;59.5,"B",IF(H635&gt;49.5,"C",IF(AND(D10="*PROGRAM",H635&lt;49.5),"F",IF(H635&gt;44.5,"D",IF(H635&gt;39.5,"E","F")))))))))</f>
        <v/>
      </c>
      <c r="J635" s="7" t="str">
        <f t="shared" si="30"/>
        <v/>
      </c>
      <c r="K635" s="1"/>
    </row>
    <row r="636" ht="15.75" customHeight="1" spans="1:11">
      <c r="A636" s="7">
        <v>438</v>
      </c>
      <c r="B636" s="43"/>
      <c r="C636" s="7"/>
      <c r="D636" s="7" t="str">
        <f>IF(D11="","",IF(H636="","",D11))</f>
        <v/>
      </c>
      <c r="E636" s="7"/>
      <c r="F636" s="7"/>
      <c r="G636" s="7"/>
      <c r="H636" s="10" t="str">
        <f>IF(AND(E636="",F636="",G636=""),"",IF(SUM(E636:G636)&gt;100,"ERROR",IF(AND(E10="TEST",SUM(E636:G636)&lt;=100),SUM(E636:G636),IF(AND(E10="*TEST",F636="",E636&lt;=30,G636&lt;=70),SUM(E636:G636),IF(AND(E10="*TEST",F636&lt;=20,E636&lt;=20,G636&lt;=60),SUM(E636:G636),IF(AND(E10="*TEST",F636="-",E636&lt;=20,G636&lt;=60),SUM(E636:G636),"ERROR"))))))</f>
        <v/>
      </c>
      <c r="I636" s="7" t="str">
        <f>IF(H636="ERROR","ERROR",IF(H636="","",IF(AND(F10="*LAB",F636="-"),"F",IF(H636&gt;69.5,"A",IF(H636&gt;59.5,"B",IF(H636&gt;49.5,"C",IF(AND(D10="*PROGRAM",H636&lt;49.5),"F",IF(H636&gt;44.5,"D",IF(H636&gt;39.5,"E","F")))))))))</f>
        <v/>
      </c>
      <c r="J636" s="7" t="str">
        <f t="shared" si="30"/>
        <v/>
      </c>
      <c r="K636" s="1"/>
    </row>
    <row r="637" ht="15.75" customHeight="1" spans="1:11">
      <c r="A637" s="7">
        <v>439</v>
      </c>
      <c r="B637" s="43"/>
      <c r="C637" s="7"/>
      <c r="D637" s="7" t="str">
        <f>IF(D11="","",IF(H637="","",D11))</f>
        <v/>
      </c>
      <c r="E637" s="7"/>
      <c r="F637" s="7"/>
      <c r="G637" s="7"/>
      <c r="H637" s="10" t="str">
        <f>IF(AND(E637="",F637="",G637=""),"",IF(SUM(E637:G637)&gt;100,"ERROR",IF(AND(E10="TEST",SUM(E637:G637)&lt;=100),SUM(E637:G637),IF(AND(E10="*TEST",F637="",E637&lt;=30,G637&lt;=70),SUM(E637:G637),IF(AND(E10="*TEST",F637&lt;=20,E637&lt;=20,G637&lt;=60),SUM(E637:G637),IF(AND(E10="*TEST",F637="-",E637&lt;=20,G637&lt;=60),SUM(E637:G637),"ERROR"))))))</f>
        <v/>
      </c>
      <c r="I637" s="7" t="str">
        <f>IF(H637="ERROR","ERROR",IF(H637="","",IF(AND(F10="*LAB",F637="-"),"F",IF(H637&gt;69.5,"A",IF(H637&gt;59.5,"B",IF(H637&gt;49.5,"C",IF(AND(D10="*PROGRAM",H637&lt;49.5),"F",IF(H637&gt;44.5,"D",IF(H637&gt;39.5,"E","F")))))))))</f>
        <v/>
      </c>
      <c r="J637" s="7" t="str">
        <f t="shared" si="30"/>
        <v/>
      </c>
      <c r="K637" s="1"/>
    </row>
    <row r="638" ht="15.75" customHeight="1" spans="1:11">
      <c r="A638" s="7">
        <v>440</v>
      </c>
      <c r="B638" s="43"/>
      <c r="C638" s="7"/>
      <c r="D638" s="7" t="str">
        <f>IF(D11="","",IF(H638="","",D11))</f>
        <v/>
      </c>
      <c r="E638" s="7"/>
      <c r="F638" s="7"/>
      <c r="G638" s="7"/>
      <c r="H638" s="10" t="str">
        <f>IF(AND(E638="",F638="",G638=""),"",IF(SUM(E638:G638)&gt;100,"ERROR",IF(AND(E10="TEST",SUM(E638:G638)&lt;=100),SUM(E638:G638),IF(AND(E10="*TEST",F638="",E638&lt;=30,G638&lt;=70),SUM(E638:G638),IF(AND(E10="*TEST",F638&lt;=20,E638&lt;=20,G638&lt;=60),SUM(E638:G638),IF(AND(E10="*TEST",F638="-",E638&lt;=20,G638&lt;=60),SUM(E638:G638),"ERROR"))))))</f>
        <v/>
      </c>
      <c r="I638" s="7" t="str">
        <f>IF(H638="ERROR","ERROR",IF(H638="","",IF(AND(F10="*LAB",F638="-"),"F",IF(H638&gt;69.5,"A",IF(H638&gt;59.5,"B",IF(H638&gt;49.5,"C",IF(AND(D10="*PROGRAM",H638&lt;49.5),"F",IF(H638&gt;44.5,"D",IF(H638&gt;39.5,"E","F")))))))))</f>
        <v/>
      </c>
      <c r="J638" s="7" t="str">
        <f t="shared" si="30"/>
        <v/>
      </c>
      <c r="K638" s="1"/>
    </row>
    <row r="639" ht="24.75" customHeight="1" spans="1:11">
      <c r="A639" s="1"/>
      <c r="B639" s="44"/>
      <c r="C639" s="1"/>
      <c r="D639" s="1"/>
      <c r="E639" s="1"/>
      <c r="F639" s="1"/>
      <c r="G639" s="13"/>
      <c r="H639" s="14"/>
      <c r="I639" s="14"/>
      <c r="J639" s="14"/>
      <c r="K639" s="1"/>
    </row>
    <row r="640" ht="15.75" customHeight="1" spans="1:11">
      <c r="A640" s="1"/>
      <c r="B640" s="15" t="s">
        <v>60</v>
      </c>
      <c r="C640" s="13"/>
      <c r="D640" s="13"/>
      <c r="E640" s="13"/>
      <c r="F640" s="13"/>
      <c r="G640" s="16" t="s">
        <v>61</v>
      </c>
      <c r="H640" s="17"/>
      <c r="I640" s="17"/>
      <c r="J640" s="17"/>
      <c r="K640" s="1"/>
    </row>
    <row r="641" ht="15.75" customHeight="1" spans="1:11">
      <c r="A641" s="1" t="str">
        <f>IF(AND(I658="",I599&lt;&gt;""),A889,"")</f>
        <v/>
      </c>
      <c r="B641" s="2" t="str">
        <f>IF(A641="","",B889)</f>
        <v/>
      </c>
      <c r="C641" s="16" t="s">
        <v>62</v>
      </c>
      <c r="D641" s="17"/>
      <c r="E641" s="17"/>
      <c r="F641" s="17"/>
      <c r="G641" s="1"/>
      <c r="H641" s="1"/>
      <c r="I641" s="1"/>
      <c r="J641" s="1"/>
      <c r="K641" s="1"/>
    </row>
    <row r="642" ht="15.75" customHeight="1" spans="1:11">
      <c r="A642" s="1" t="str">
        <f>IF(A641="","",A890)</f>
        <v/>
      </c>
      <c r="B642" s="2" t="str">
        <f>IF(A641="","",B890)</f>
        <v/>
      </c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 spans="1:11">
      <c r="A643" s="1" t="str">
        <f>IF(A641="","",A891)</f>
        <v/>
      </c>
      <c r="B643" s="2" t="str">
        <f>IF(A641="","",B891)</f>
        <v/>
      </c>
      <c r="C643" s="18" t="s">
        <v>63</v>
      </c>
      <c r="D643" s="17"/>
      <c r="E643" s="17"/>
      <c r="F643" s="17"/>
      <c r="G643" s="17"/>
      <c r="H643" s="17"/>
      <c r="I643" s="17"/>
      <c r="J643" s="24"/>
      <c r="K643" s="1"/>
    </row>
    <row r="644" ht="15.75" customHeight="1" spans="1:11">
      <c r="A644" s="1" t="str">
        <f>IF(A641="","",A892)</f>
        <v/>
      </c>
      <c r="B644" s="2" t="str">
        <f>IF(A641="","",B892)</f>
        <v/>
      </c>
      <c r="C644" s="19" t="s">
        <v>64</v>
      </c>
      <c r="F644" s="15"/>
      <c r="G644" s="15" t="s">
        <v>65</v>
      </c>
      <c r="J644" s="25"/>
      <c r="K644" s="1"/>
    </row>
    <row r="645" ht="15.75" customHeight="1" spans="1:11">
      <c r="A645" s="1" t="str">
        <f>IF(A641="","",A893)</f>
        <v/>
      </c>
      <c r="B645" s="2" t="str">
        <f>IF(A641="","",B893)</f>
        <v/>
      </c>
      <c r="C645" s="19" t="s">
        <v>66</v>
      </c>
      <c r="F645" s="15"/>
      <c r="G645" s="15" t="s">
        <v>67</v>
      </c>
      <c r="J645" s="25"/>
      <c r="K645" s="1"/>
    </row>
    <row r="646" ht="15.75" customHeight="1" spans="1:11">
      <c r="A646" s="1" t="str">
        <f>IF(A641="","",A894)</f>
        <v/>
      </c>
      <c r="B646" s="2" t="str">
        <f>IF(A641="","",B894)</f>
        <v/>
      </c>
      <c r="C646" s="20" t="s">
        <v>68</v>
      </c>
      <c r="D646" s="14"/>
      <c r="E646" s="14"/>
      <c r="F646" s="21"/>
      <c r="G646" s="21" t="s">
        <v>69</v>
      </c>
      <c r="H646" s="14"/>
      <c r="I646" s="14"/>
      <c r="J646" s="26"/>
      <c r="K646" s="1"/>
    </row>
    <row r="647" ht="15.75" customHeight="1" spans="1:11">
      <c r="A647" s="1" t="str">
        <f>IF(A641="","",A895)</f>
        <v/>
      </c>
      <c r="B647" s="22" t="str">
        <f>IF(A641="","",B895)</f>
        <v/>
      </c>
      <c r="C647" s="1"/>
      <c r="D647" s="1"/>
      <c r="E647" s="1"/>
      <c r="F647" s="1"/>
      <c r="G647" s="1"/>
      <c r="H647" s="1"/>
      <c r="I647" s="1"/>
      <c r="J647" s="27" t="s">
        <v>183</v>
      </c>
      <c r="K647" s="1"/>
    </row>
    <row r="648" ht="15.75" customHeight="1" spans="1:11">
      <c r="A648" s="23"/>
      <c r="B648" s="23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 spans="1:11">
      <c r="A649" s="1"/>
      <c r="B649" s="3" t="s">
        <v>0</v>
      </c>
      <c r="K649" s="1"/>
    </row>
    <row r="650" ht="15.75" customHeight="1" spans="1:11">
      <c r="A650" s="1"/>
      <c r="B650" s="4" t="s">
        <v>1</v>
      </c>
      <c r="K650" s="1"/>
    </row>
    <row r="651" ht="15.75" customHeight="1" spans="1:1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 spans="1:11">
      <c r="A652" s="2" t="str">
        <f t="shared" ref="A652:A655" si="31">A5</f>
        <v>School of Student: SEET</v>
      </c>
      <c r="D652" s="1"/>
      <c r="E652" s="5">
        <f t="shared" ref="E652:E655" si="32">E5</f>
        <v>0</v>
      </c>
      <c r="K652" s="1"/>
    </row>
    <row r="653" ht="15.75" customHeight="1" spans="1:11">
      <c r="A653" s="2" t="str">
        <f t="shared" si="31"/>
        <v>Department: BIOMEDICAL ENGINEERING</v>
      </c>
      <c r="D653" s="1"/>
      <c r="E653" s="5" t="str">
        <f t="shared" si="32"/>
        <v>Session: ---------------------------------</v>
      </c>
      <c r="K653" s="1"/>
    </row>
    <row r="654" ht="15.75" customHeight="1" spans="1:11">
      <c r="A654" s="2" t="str">
        <f t="shared" si="31"/>
        <v>Title of Course: ------------------------</v>
      </c>
      <c r="D654" s="1"/>
      <c r="E654" s="5" t="str">
        <f t="shared" si="32"/>
        <v>Course Code: -------------------------</v>
      </c>
      <c r="K654" s="1"/>
    </row>
    <row r="655" ht="15.75" customHeight="1" spans="1:11">
      <c r="A655" s="2" t="str">
        <f t="shared" si="31"/>
        <v>School Offering Course: ----------------------------</v>
      </c>
      <c r="D655" s="1"/>
      <c r="E655" s="5" t="str">
        <f t="shared" si="32"/>
        <v>Date: -----------------------------</v>
      </c>
      <c r="K655" s="1"/>
    </row>
    <row r="656" ht="15.75" customHeight="1" spans="1:11">
      <c r="A656" s="1"/>
      <c r="B656" s="2"/>
      <c r="C656" s="1"/>
      <c r="D656" s="5"/>
      <c r="E656" s="5"/>
      <c r="F656" s="5"/>
      <c r="G656" s="5"/>
      <c r="H656" s="5"/>
      <c r="I656" s="5"/>
      <c r="J656" s="5"/>
      <c r="K656" s="1"/>
    </row>
    <row r="657" ht="15.75" customHeight="1" spans="1:11">
      <c r="A657" s="6" t="s">
        <v>9</v>
      </c>
      <c r="B657" s="6" t="s">
        <v>10</v>
      </c>
      <c r="C657" s="6" t="s">
        <v>11</v>
      </c>
      <c r="D657" s="6" t="s">
        <v>12</v>
      </c>
      <c r="E657" s="6" t="s">
        <v>13</v>
      </c>
      <c r="F657" s="6" t="s">
        <v>14</v>
      </c>
      <c r="G657" s="6" t="s">
        <v>15</v>
      </c>
      <c r="H657" s="6" t="s">
        <v>16</v>
      </c>
      <c r="I657" s="6" t="s">
        <v>17</v>
      </c>
      <c r="J657" s="6" t="s">
        <v>18</v>
      </c>
      <c r="K657" s="1"/>
    </row>
    <row r="658" ht="15.75" customHeight="1" spans="1:11">
      <c r="A658" s="7">
        <v>441</v>
      </c>
      <c r="B658" s="43"/>
      <c r="C658" s="7"/>
      <c r="D658" s="7" t="str">
        <f>IF(D11="","",IF(H658="","",D11))</f>
        <v/>
      </c>
      <c r="E658" s="7"/>
      <c r="F658" s="7"/>
      <c r="G658" s="7"/>
      <c r="H658" s="10" t="str">
        <f>IF(AND(E658="",F658="",G658=""),"",IF(SUM(E658:G658)&gt;100,"ERROR",IF(AND(E10="TEST",SUM(E658:G658)&lt;=100),SUM(E658:G658),IF(AND(E10="*TEST",F658="",E658&lt;=30,G658&lt;=70),SUM(E658:G658),IF(AND(E10="*TEST",F658&lt;=20,E658&lt;=20,G658&lt;=60),SUM(E658:G658),IF(AND(E10="*TEST",F658="-",E658&lt;=20,G658&lt;=60),SUM(E658:G658),"ERROR"))))))</f>
        <v/>
      </c>
      <c r="I658" s="7" t="str">
        <f>IF(H658="ERROR","ERROR",IF(H658="","",IF(AND(F10="*LAB",F658="-"),"F",IF(H658&gt;69.5,"A",IF(H658&gt;59.5,"B",IF(H658&gt;49.5,"C",IF(AND(D10="*PROGRAM",H658&lt;49.5),"F",IF(H658&gt;44.5,"D",IF(H658&gt;39.5,"E","F")))))))))</f>
        <v/>
      </c>
      <c r="J658" s="7" t="str">
        <f t="shared" ref="J658:J697" si="33">IF(H658="ERROR","ERROR",IF(I658="","",IF(I658="F","FAIL","PASS")))</f>
        <v/>
      </c>
      <c r="K658" s="1"/>
    </row>
    <row r="659" ht="15.75" customHeight="1" spans="1:11">
      <c r="A659" s="7">
        <v>442</v>
      </c>
      <c r="B659" s="43"/>
      <c r="C659" s="7"/>
      <c r="D659" s="7" t="str">
        <f>IF(D11="","",IF(H659="","",D11))</f>
        <v/>
      </c>
      <c r="E659" s="7"/>
      <c r="F659" s="7"/>
      <c r="G659" s="7"/>
      <c r="H659" s="10" t="str">
        <f>IF(AND(E659="",F659="",G659=""),"",IF(SUM(E659:G659)&gt;100,"ERROR",IF(AND(E10="TEST",SUM(E659:G659)&lt;=100),SUM(E659:G659),IF(AND(E10="*TEST",F659="",E659&lt;=30,G659&lt;=70),SUM(E659:G659),IF(AND(E10="*TEST",F659&lt;=20,E659&lt;=20,G659&lt;=60),SUM(E659:G659),IF(AND(E10="*TEST",F659="-",E659&lt;=20,G659&lt;=60),SUM(E659:G659),"ERROR"))))))</f>
        <v/>
      </c>
      <c r="I659" s="7" t="str">
        <f>IF(H659="ERROR","ERROR",IF(H659="","",IF(AND(F10="*LAB",F659="-"),"F",IF(H659&gt;69.5,"A",IF(H659&gt;59.5,"B",IF(H659&gt;49.5,"C",IF(AND(D10="*PROGRAM",H659&lt;49.5),"F",IF(H659&gt;44.5,"D",IF(H659&gt;39.5,"E","F")))))))))</f>
        <v/>
      </c>
      <c r="J659" s="7" t="str">
        <f t="shared" si="33"/>
        <v/>
      </c>
      <c r="K659" s="1"/>
    </row>
    <row r="660" ht="15.75" customHeight="1" spans="1:11">
      <c r="A660" s="7">
        <v>443</v>
      </c>
      <c r="B660" s="43"/>
      <c r="C660" s="7"/>
      <c r="D660" s="7" t="str">
        <f>IF(D11="","",IF(H660="","",D11))</f>
        <v/>
      </c>
      <c r="E660" s="7"/>
      <c r="F660" s="7"/>
      <c r="G660" s="7"/>
      <c r="H660" s="10" t="str">
        <f>IF(AND(E660="",F660="",G660=""),"",IF(SUM(E660:G660)&gt;100,"ERROR",IF(AND(E10="TEST",SUM(E660:G660)&lt;=100),SUM(E660:G660),IF(AND(E10="*TEST",F660="",E660&lt;=30,G660&lt;=70),SUM(E660:G660),IF(AND(E10="*TEST",F660&lt;=20,E660&lt;=20,G660&lt;=60),SUM(E660:G660),IF(AND(E10="*TEST",F660="-",E660&lt;=20,G660&lt;=60),SUM(E660:G660),"ERROR"))))))</f>
        <v/>
      </c>
      <c r="I660" s="7" t="str">
        <f>IF(H660="ERROR","ERROR",IF(H660="","",IF(AND(F10="*LAB",F660="-"),"F",IF(H660&gt;69.5,"A",IF(H660&gt;59.5,"B",IF(H660&gt;49.5,"C",IF(AND(D10="*PROGRAM",H660&lt;49.5),"F",IF(H660&gt;44.5,"D",IF(H660&gt;39.5,"E","F")))))))))</f>
        <v/>
      </c>
      <c r="J660" s="7" t="str">
        <f t="shared" si="33"/>
        <v/>
      </c>
      <c r="K660" s="1"/>
    </row>
    <row r="661" ht="15.75" customHeight="1" spans="1:11">
      <c r="A661" s="7">
        <v>444</v>
      </c>
      <c r="B661" s="43"/>
      <c r="C661" s="7"/>
      <c r="D661" s="7" t="str">
        <f>IF(D11="","",IF(H661="","",D11))</f>
        <v/>
      </c>
      <c r="E661" s="7"/>
      <c r="F661" s="7"/>
      <c r="G661" s="7"/>
      <c r="H661" s="10" t="str">
        <f>IF(AND(E661="",F661="",G661=""),"",IF(SUM(E661:G661)&gt;100,"ERROR",IF(AND(E10="TEST",SUM(E661:G661)&lt;=100),SUM(E661:G661),IF(AND(E10="*TEST",F661="",E661&lt;=30,G661&lt;=70),SUM(E661:G661),IF(AND(E10="*TEST",F661&lt;=20,E661&lt;=20,G661&lt;=60),SUM(E661:G661),IF(AND(E10="*TEST",F661="-",E661&lt;=20,G661&lt;=60),SUM(E661:G661),"ERROR"))))))</f>
        <v/>
      </c>
      <c r="I661" s="7" t="str">
        <f>IF(H661="ERROR","ERROR",IF(H661="","",IF(AND(F10="*LAB",F661="-"),"F",IF(H661&gt;69.5,"A",IF(H661&gt;59.5,"B",IF(H661&gt;49.5,"C",IF(AND(D10="*PROGRAM",H661&lt;49.5),"F",IF(H661&gt;44.5,"D",IF(H661&gt;39.5,"E","F")))))))))</f>
        <v/>
      </c>
      <c r="J661" s="7" t="str">
        <f t="shared" si="33"/>
        <v/>
      </c>
      <c r="K661" s="1"/>
    </row>
    <row r="662" ht="15.75" customHeight="1" spans="1:11">
      <c r="A662" s="7">
        <v>445</v>
      </c>
      <c r="B662" s="43"/>
      <c r="C662" s="7"/>
      <c r="D662" s="7" t="str">
        <f>IF(D11="","",IF(H662="","",D11))</f>
        <v/>
      </c>
      <c r="E662" s="7"/>
      <c r="F662" s="7"/>
      <c r="G662" s="7"/>
      <c r="H662" s="10" t="str">
        <f>IF(AND(E662="",F662="",G662=""),"",IF(SUM(E662:G662)&gt;100,"ERROR",IF(AND(E10="TEST",SUM(E662:G662)&lt;=100),SUM(E662:G662),IF(AND(E10="*TEST",F662="",E662&lt;=30,G662&lt;=70),SUM(E662:G662),IF(AND(E10="*TEST",F662&lt;=20,E662&lt;=20,G662&lt;=60),SUM(E662:G662),IF(AND(E10="*TEST",F662="-",E662&lt;=20,G662&lt;=60),SUM(E662:G662),"ERROR"))))))</f>
        <v/>
      </c>
      <c r="I662" s="7" t="str">
        <f>IF(H662="ERROR","ERROR",IF(H662="","",IF(AND(F10="*LAB",F662="-"),"F",IF(H662&gt;69.5,"A",IF(H662&gt;59.5,"B",IF(H662&gt;49.5,"C",IF(AND(D10="*PROGRAM",H662&lt;49.5),"F",IF(H662&gt;44.5,"D",IF(H662&gt;39.5,"E","F")))))))))</f>
        <v/>
      </c>
      <c r="J662" s="7" t="str">
        <f t="shared" si="33"/>
        <v/>
      </c>
      <c r="K662" s="1"/>
    </row>
    <row r="663" ht="15.75" customHeight="1" spans="1:11">
      <c r="A663" s="7">
        <v>446</v>
      </c>
      <c r="B663" s="43"/>
      <c r="C663" s="7"/>
      <c r="D663" s="7" t="str">
        <f>IF(D11="","",IF(H663="","",D11))</f>
        <v/>
      </c>
      <c r="E663" s="7"/>
      <c r="F663" s="7"/>
      <c r="G663" s="7"/>
      <c r="H663" s="10" t="str">
        <f>IF(AND(E663="",F663="",G663=""),"",IF(SUM(E663:G663)&gt;100,"ERROR",IF(AND(E10="TEST",SUM(E663:G663)&lt;=100),SUM(E663:G663),IF(AND(E10="*TEST",F663="",E663&lt;=30,G663&lt;=70),SUM(E663:G663),IF(AND(E10="*TEST",F663&lt;=20,E663&lt;=20,G663&lt;=60),SUM(E663:G663),IF(AND(E10="*TEST",F663="-",E663&lt;=20,G663&lt;=60),SUM(E663:G663),"ERROR"))))))</f>
        <v/>
      </c>
      <c r="I663" s="7" t="str">
        <f>IF(H663="ERROR","ERROR",IF(H663="","",IF(AND(F10="*LAB",F663="-"),"F",IF(H663&gt;69.5,"A",IF(H663&gt;59.5,"B",IF(H663&gt;49.5,"C",IF(AND(D10="*PROGRAM",H663&lt;49.5),"F",IF(H663&gt;44.5,"D",IF(H663&gt;39.5,"E","F")))))))))</f>
        <v/>
      </c>
      <c r="J663" s="7" t="str">
        <f t="shared" si="33"/>
        <v/>
      </c>
      <c r="K663" s="1"/>
    </row>
    <row r="664" ht="15.75" customHeight="1" spans="1:11">
      <c r="A664" s="7">
        <v>447</v>
      </c>
      <c r="B664" s="43"/>
      <c r="C664" s="7"/>
      <c r="D664" s="7" t="str">
        <f>IF(D11="","",IF(H664="","",D11))</f>
        <v/>
      </c>
      <c r="E664" s="7"/>
      <c r="F664" s="7"/>
      <c r="G664" s="7"/>
      <c r="H664" s="10" t="str">
        <f>IF(AND(E664="",F664="",G664=""),"",IF(SUM(E664:G664)&gt;100,"ERROR",IF(AND(E10="TEST",SUM(E664:G664)&lt;=100),SUM(E664:G664),IF(AND(E10="*TEST",F664="",E664&lt;=30,G664&lt;=70),SUM(E664:G664),IF(AND(E10="*TEST",F664&lt;=20,E664&lt;=20,G664&lt;=60),SUM(E664:G664),IF(AND(E10="*TEST",F664="-",E664&lt;=20,G664&lt;=60),SUM(E664:G664),"ERROR"))))))</f>
        <v/>
      </c>
      <c r="I664" s="7" t="str">
        <f>IF(H664="ERROR","ERROR",IF(H664="","",IF(AND(F10="*LAB",F664="-"),"F",IF(H664&gt;69.5,"A",IF(H664&gt;59.5,"B",IF(H664&gt;49.5,"C",IF(AND(D10="*PROGRAM",H664&lt;49.5),"F",IF(H664&gt;44.5,"D",IF(H664&gt;39.5,"E","F")))))))))</f>
        <v/>
      </c>
      <c r="J664" s="7" t="str">
        <f t="shared" si="33"/>
        <v/>
      </c>
      <c r="K664" s="1"/>
    </row>
    <row r="665" ht="15.75" customHeight="1" spans="1:11">
      <c r="A665" s="7">
        <v>448</v>
      </c>
      <c r="B665" s="43"/>
      <c r="C665" s="7"/>
      <c r="D665" s="7" t="str">
        <f>IF(D11="","",IF(H665="","",D11))</f>
        <v/>
      </c>
      <c r="E665" s="7"/>
      <c r="F665" s="7"/>
      <c r="G665" s="7"/>
      <c r="H665" s="10" t="str">
        <f>IF(AND(E665="",F665="",G665=""),"",IF(SUM(E665:G665)&gt;100,"ERROR",IF(AND(E10="TEST",SUM(E665:G665)&lt;=100),SUM(E665:G665),IF(AND(E10="*TEST",F665="",E665&lt;=30,G665&lt;=70),SUM(E665:G665),IF(AND(E10="*TEST",F665&lt;=20,E665&lt;=20,G665&lt;=60),SUM(E665:G665),IF(AND(E10="*TEST",F665="-",E665&lt;=20,G665&lt;=60),SUM(E665:G665),"ERROR"))))))</f>
        <v/>
      </c>
      <c r="I665" s="7" t="str">
        <f>IF(H665="ERROR","ERROR",IF(H665="","",IF(AND(F10="*LAB",F665="-"),"F",IF(H665&gt;69.5,"A",IF(H665&gt;59.5,"B",IF(H665&gt;49.5,"C",IF(AND(D10="*PROGRAM",H665&lt;49.5),"F",IF(H665&gt;44.5,"D",IF(H665&gt;39.5,"E","F")))))))))</f>
        <v/>
      </c>
      <c r="J665" s="7" t="str">
        <f t="shared" si="33"/>
        <v/>
      </c>
      <c r="K665" s="1"/>
    </row>
    <row r="666" ht="15.75" customHeight="1" spans="1:11">
      <c r="A666" s="7">
        <v>449</v>
      </c>
      <c r="B666" s="43"/>
      <c r="C666" s="7"/>
      <c r="D666" s="7" t="str">
        <f>IF(D11="","",IF(H666="","",D11))</f>
        <v/>
      </c>
      <c r="E666" s="7"/>
      <c r="F666" s="7"/>
      <c r="G666" s="7"/>
      <c r="H666" s="10" t="str">
        <f>IF(AND(E666="",F666="",G666=""),"",IF(SUM(E666:G666)&gt;100,"ERROR",IF(AND(E10="TEST",SUM(E666:G666)&lt;=100),SUM(E666:G666),IF(AND(E10="*TEST",F666="",E666&lt;=30,G666&lt;=70),SUM(E666:G666),IF(AND(E10="*TEST",F666&lt;=20,E666&lt;=20,G666&lt;=60),SUM(E666:G666),IF(AND(E10="*TEST",F666="-",E666&lt;=20,G666&lt;=60),SUM(E666:G666),"ERROR"))))))</f>
        <v/>
      </c>
      <c r="I666" s="7" t="str">
        <f>IF(H666="ERROR","ERROR",IF(H666="","",IF(AND(F10="*LAB",F666="-"),"F",IF(H666&gt;69.5,"A",IF(H666&gt;59.5,"B",IF(H666&gt;49.5,"C",IF(AND(D10="*PROGRAM",H666&lt;49.5),"F",IF(H666&gt;44.5,"D",IF(H666&gt;39.5,"E","F")))))))))</f>
        <v/>
      </c>
      <c r="J666" s="7" t="str">
        <f t="shared" si="33"/>
        <v/>
      </c>
      <c r="K666" s="1"/>
    </row>
    <row r="667" ht="15.75" customHeight="1" spans="1:11">
      <c r="A667" s="7">
        <v>450</v>
      </c>
      <c r="B667" s="43"/>
      <c r="C667" s="7"/>
      <c r="D667" s="7" t="str">
        <f>IF(D11="","",IF(H667="","",D11))</f>
        <v/>
      </c>
      <c r="E667" s="7"/>
      <c r="F667" s="7"/>
      <c r="G667" s="7"/>
      <c r="H667" s="10" t="str">
        <f>IF(AND(E667="",F667="",G667=""),"",IF(SUM(E667:G667)&gt;100,"ERROR",IF(AND(E10="TEST",SUM(E667:G667)&lt;=100),SUM(E667:G667),IF(AND(E10="*TEST",F667="",E667&lt;=30,G667&lt;=70),SUM(E667:G667),IF(AND(E10="*TEST",F667&lt;=20,E667&lt;=20,G667&lt;=60),SUM(E667:G667),IF(AND(E10="*TEST",F667="-",E667&lt;=20,G667&lt;=60),SUM(E667:G667),"ERROR"))))))</f>
        <v/>
      </c>
      <c r="I667" s="7" t="str">
        <f>IF(H667="ERROR","ERROR",IF(H667="","",IF(AND(F10="*LAB",F667="-"),"F",IF(H667&gt;69.5,"A",IF(H667&gt;59.5,"B",IF(H667&gt;49.5,"C",IF(AND(D10="*PROGRAM",H667&lt;49.5),"F",IF(H667&gt;44.5,"D",IF(H667&gt;39.5,"E","F")))))))))</f>
        <v/>
      </c>
      <c r="J667" s="7" t="str">
        <f t="shared" si="33"/>
        <v/>
      </c>
      <c r="K667" s="1"/>
    </row>
    <row r="668" ht="15.75" customHeight="1" spans="1:11">
      <c r="A668" s="7">
        <v>451</v>
      </c>
      <c r="B668" s="43"/>
      <c r="C668" s="7"/>
      <c r="D668" s="7" t="str">
        <f>IF(D11="","",IF(H668="","",D11))</f>
        <v/>
      </c>
      <c r="E668" s="7"/>
      <c r="F668" s="7"/>
      <c r="G668" s="7"/>
      <c r="H668" s="10" t="str">
        <f>IF(AND(E668="",F668="",G668=""),"",IF(SUM(E668:G668)&gt;100,"ERROR",IF(AND(E10="TEST",SUM(E668:G668)&lt;=100),SUM(E668:G668),IF(AND(E10="*TEST",F668="",E668&lt;=30,G668&lt;=70),SUM(E668:G668),IF(AND(E10="*TEST",F668&lt;=20,E668&lt;=20,G668&lt;=60),SUM(E668:G668),IF(AND(E10="*TEST",F668="-",E668&lt;=20,G668&lt;=60),SUM(E668:G668),"ERROR"))))))</f>
        <v/>
      </c>
      <c r="I668" s="7" t="str">
        <f>IF(H668="ERROR","ERROR",IF(H668="","",IF(AND(F10="*LAB",F668="-"),"F",IF(H668&gt;69.5,"A",IF(H668&gt;59.5,"B",IF(H668&gt;49.5,"C",IF(AND(D10="*PROGRAM",H668&lt;49.5),"F",IF(H668&gt;44.5,"D",IF(H668&gt;39.5,"E","F")))))))))</f>
        <v/>
      </c>
      <c r="J668" s="7" t="str">
        <f t="shared" si="33"/>
        <v/>
      </c>
      <c r="K668" s="1"/>
    </row>
    <row r="669" ht="15.75" customHeight="1" spans="1:11">
      <c r="A669" s="7">
        <v>452</v>
      </c>
      <c r="B669" s="43"/>
      <c r="C669" s="7"/>
      <c r="D669" s="7" t="str">
        <f>IF(D11="","",IF(H669="","",D11))</f>
        <v/>
      </c>
      <c r="E669" s="7"/>
      <c r="F669" s="7"/>
      <c r="G669" s="7"/>
      <c r="H669" s="10" t="str">
        <f>IF(AND(E669="",F669="",G669=""),"",IF(SUM(E669:G669)&gt;100,"ERROR",IF(AND(E10="TEST",SUM(E669:G669)&lt;=100),SUM(E669:G669),IF(AND(E10="*TEST",F669="",E669&lt;=30,G669&lt;=70),SUM(E669:G669),IF(AND(E10="*TEST",F669&lt;=20,E669&lt;=20,G669&lt;=60),SUM(E669:G669),IF(AND(E10="*TEST",F669="-",E669&lt;=20,G669&lt;=60),SUM(E669:G669),"ERROR"))))))</f>
        <v/>
      </c>
      <c r="I669" s="7" t="str">
        <f>IF(H669="ERROR","ERROR",IF(H669="","",IF(AND(F10="*LAB",F669="-"),"F",IF(H669&gt;69.5,"A",IF(H669&gt;59.5,"B",IF(H669&gt;49.5,"C",IF(AND(D10="*PROGRAM",H669&lt;49.5),"F",IF(H669&gt;44.5,"D",IF(H669&gt;39.5,"E","F")))))))))</f>
        <v/>
      </c>
      <c r="J669" s="7" t="str">
        <f t="shared" si="33"/>
        <v/>
      </c>
      <c r="K669" s="1"/>
    </row>
    <row r="670" ht="15.75" customHeight="1" spans="1:11">
      <c r="A670" s="7">
        <v>453</v>
      </c>
      <c r="B670" s="43"/>
      <c r="C670" s="7"/>
      <c r="D670" s="7" t="str">
        <f>IF(D11="","",IF(H670="","",D11))</f>
        <v/>
      </c>
      <c r="E670" s="7"/>
      <c r="F670" s="7"/>
      <c r="G670" s="7"/>
      <c r="H670" s="10" t="str">
        <f>IF(AND(E670="",F670="",G670=""),"",IF(SUM(E670:G670)&gt;100,"ERROR",IF(AND(E10="TEST",SUM(E670:G670)&lt;=100),SUM(E670:G670),IF(AND(E10="*TEST",F670="",E670&lt;=30,G670&lt;=70),SUM(E670:G670),IF(AND(E10="*TEST",F670&lt;=20,E670&lt;=20,G670&lt;=60),SUM(E670:G670),IF(AND(E10="*TEST",F670="-",E670&lt;=20,G670&lt;=60),SUM(E670:G670),"ERROR"))))))</f>
        <v/>
      </c>
      <c r="I670" s="7" t="str">
        <f>IF(H670="ERROR","ERROR",IF(H670="","",IF(AND(F10="*LAB",F670="-"),"F",IF(H670&gt;69.5,"A",IF(H670&gt;59.5,"B",IF(H670&gt;49.5,"C",IF(AND(D10="*PROGRAM",H670&lt;49.5),"F",IF(H670&gt;44.5,"D",IF(H670&gt;39.5,"E","F")))))))))</f>
        <v/>
      </c>
      <c r="J670" s="7" t="str">
        <f t="shared" si="33"/>
        <v/>
      </c>
      <c r="K670" s="1"/>
    </row>
    <row r="671" ht="15.75" customHeight="1" spans="1:11">
      <c r="A671" s="7">
        <v>454</v>
      </c>
      <c r="B671" s="43"/>
      <c r="C671" s="7"/>
      <c r="D671" s="7" t="str">
        <f>IF(D11="","",IF(H671="","",D11))</f>
        <v/>
      </c>
      <c r="E671" s="7"/>
      <c r="F671" s="7"/>
      <c r="G671" s="7"/>
      <c r="H671" s="10" t="str">
        <f>IF(AND(E671="",F671="",G671=""),"",IF(SUM(E671:G671)&gt;100,"ERROR",IF(AND(E10="TEST",SUM(E671:G671)&lt;=100),SUM(E671:G671),IF(AND(E10="*TEST",F671="",E671&lt;=30,G671&lt;=70),SUM(E671:G671),IF(AND(E10="*TEST",F671&lt;=20,E671&lt;=20,G671&lt;=60),SUM(E671:G671),IF(AND(E10="*TEST",F671="-",E671&lt;=20,G671&lt;=60),SUM(E671:G671),"ERROR"))))))</f>
        <v/>
      </c>
      <c r="I671" s="7" t="str">
        <f>IF(H671="ERROR","ERROR",IF(H671="","",IF(AND(F10="*LAB",F671="-"),"F",IF(H671&gt;69.5,"A",IF(H671&gt;59.5,"B",IF(H671&gt;49.5,"C",IF(AND(D10="*PROGRAM",H671&lt;49.5),"F",IF(H671&gt;44.5,"D",IF(H671&gt;39.5,"E","F")))))))))</f>
        <v/>
      </c>
      <c r="J671" s="7" t="str">
        <f t="shared" si="33"/>
        <v/>
      </c>
      <c r="K671" s="1"/>
    </row>
    <row r="672" ht="15.75" customHeight="1" spans="1:11">
      <c r="A672" s="7">
        <v>455</v>
      </c>
      <c r="B672" s="43"/>
      <c r="C672" s="7"/>
      <c r="D672" s="7" t="str">
        <f>IF(D11="","",IF(H672="","",D11))</f>
        <v/>
      </c>
      <c r="E672" s="7"/>
      <c r="F672" s="7"/>
      <c r="G672" s="7"/>
      <c r="H672" s="10" t="str">
        <f>IF(AND(E672="",F672="",G672=""),"",IF(SUM(E672:G672)&gt;100,"ERROR",IF(AND(E10="TEST",SUM(E672:G672)&lt;=100),SUM(E672:G672),IF(AND(E10="*TEST",F672="",E672&lt;=30,G672&lt;=70),SUM(E672:G672),IF(AND(E10="*TEST",F672&lt;=20,E672&lt;=20,G672&lt;=60),SUM(E672:G672),IF(AND(E10="*TEST",F672="-",E672&lt;=20,G672&lt;=60),SUM(E672:G672),"ERROR"))))))</f>
        <v/>
      </c>
      <c r="I672" s="7" t="str">
        <f>IF(H672="ERROR","ERROR",IF(H672="","",IF(AND(F10="*LAB",F672="-"),"F",IF(H672&gt;69.5,"A",IF(H672&gt;59.5,"B",IF(H672&gt;49.5,"C",IF(AND(D10="*PROGRAM",H672&lt;49.5),"F",IF(H672&gt;44.5,"D",IF(H672&gt;39.5,"E","F")))))))))</f>
        <v/>
      </c>
      <c r="J672" s="7" t="str">
        <f t="shared" si="33"/>
        <v/>
      </c>
      <c r="K672" s="1"/>
    </row>
    <row r="673" ht="15.75" customHeight="1" spans="1:11">
      <c r="A673" s="7">
        <v>456</v>
      </c>
      <c r="B673" s="43"/>
      <c r="C673" s="7"/>
      <c r="D673" s="7" t="str">
        <f>IF(D11="","",IF(H673="","",D11))</f>
        <v/>
      </c>
      <c r="E673" s="7"/>
      <c r="F673" s="7"/>
      <c r="G673" s="7"/>
      <c r="H673" s="10" t="str">
        <f>IF(AND(E673="",F673="",G673=""),"",IF(SUM(E673:G673)&gt;100,"ERROR",IF(AND(E10="TEST",SUM(E673:G673)&lt;=100),SUM(E673:G673),IF(AND(E10="*TEST",F673="",E673&lt;=30,G673&lt;=70),SUM(E673:G673),IF(AND(E10="*TEST",F673&lt;=20,E673&lt;=20,G673&lt;=60),SUM(E673:G673),IF(AND(E10="*TEST",F673="-",E673&lt;=20,G673&lt;=60),SUM(E673:G673),"ERROR"))))))</f>
        <v/>
      </c>
      <c r="I673" s="7" t="str">
        <f>IF(H673="ERROR","ERROR",IF(H673="","",IF(AND(F10="*LAB",F673="-"),"F",IF(H673&gt;69.5,"A",IF(H673&gt;59.5,"B",IF(H673&gt;49.5,"C",IF(AND(D10="*PROGRAM",H673&lt;49.5),"F",IF(H673&gt;44.5,"D",IF(H673&gt;39.5,"E","F")))))))))</f>
        <v/>
      </c>
      <c r="J673" s="7" t="str">
        <f t="shared" si="33"/>
        <v/>
      </c>
      <c r="K673" s="1"/>
    </row>
    <row r="674" ht="15.75" customHeight="1" spans="1:11">
      <c r="A674" s="7">
        <v>457</v>
      </c>
      <c r="B674" s="43"/>
      <c r="C674" s="7"/>
      <c r="D674" s="7" t="str">
        <f>IF(D11="","",IF(H674="","",D11))</f>
        <v/>
      </c>
      <c r="E674" s="7"/>
      <c r="F674" s="7"/>
      <c r="G674" s="7"/>
      <c r="H674" s="10" t="str">
        <f>IF(AND(E674="",F674="",G674=""),"",IF(SUM(E674:G674)&gt;100,"ERROR",IF(AND(E10="TEST",SUM(E674:G674)&lt;=100),SUM(E674:G674),IF(AND(E10="*TEST",F674="",E674&lt;=30,G674&lt;=70),SUM(E674:G674),IF(AND(E10="*TEST",F674&lt;=20,E674&lt;=20,G674&lt;=60),SUM(E674:G674),IF(AND(E10="*TEST",F674="-",E674&lt;=20,G674&lt;=60),SUM(E674:G674),"ERROR"))))))</f>
        <v/>
      </c>
      <c r="I674" s="7" t="str">
        <f>IF(H674="ERROR","ERROR",IF(H674="","",IF(AND(F10="*LAB",F674="-"),"F",IF(H674&gt;69.5,"A",IF(H674&gt;59.5,"B",IF(H674&gt;49.5,"C",IF(AND(D10="*PROGRAM",H674&lt;49.5),"F",IF(H674&gt;44.5,"D",IF(H674&gt;39.5,"E","F")))))))))</f>
        <v/>
      </c>
      <c r="J674" s="7" t="str">
        <f t="shared" si="33"/>
        <v/>
      </c>
      <c r="K674" s="1"/>
    </row>
    <row r="675" ht="15.75" customHeight="1" spans="1:11">
      <c r="A675" s="7">
        <v>458</v>
      </c>
      <c r="B675" s="43"/>
      <c r="C675" s="7"/>
      <c r="D675" s="7" t="str">
        <f>IF(D11="","",IF(H675="","",D11))</f>
        <v/>
      </c>
      <c r="E675" s="7"/>
      <c r="F675" s="7"/>
      <c r="G675" s="7"/>
      <c r="H675" s="10" t="str">
        <f>IF(AND(E675="",F675="",G675=""),"",IF(SUM(E675:G675)&gt;100,"ERROR",IF(AND(E10="TEST",SUM(E675:G675)&lt;=100),SUM(E675:G675),IF(AND(E10="*TEST",F675="",E675&lt;=30,G675&lt;=70),SUM(E675:G675),IF(AND(E10="*TEST",F675&lt;=20,E675&lt;=20,G675&lt;=60),SUM(E675:G675),IF(AND(E10="*TEST",F675="-",E675&lt;=20,G675&lt;=60),SUM(E675:G675),"ERROR"))))))</f>
        <v/>
      </c>
      <c r="I675" s="7" t="str">
        <f>IF(H675="ERROR","ERROR",IF(H675="","",IF(AND(F10="*LAB",F675="-"),"F",IF(H675&gt;69.5,"A",IF(H675&gt;59.5,"B",IF(H675&gt;49.5,"C",IF(AND(D10="*PROGRAM",H675&lt;49.5),"F",IF(H675&gt;44.5,"D",IF(H675&gt;39.5,"E","F")))))))))</f>
        <v/>
      </c>
      <c r="J675" s="7" t="str">
        <f t="shared" si="33"/>
        <v/>
      </c>
      <c r="K675" s="1"/>
    </row>
    <row r="676" ht="15.75" customHeight="1" spans="1:11">
      <c r="A676" s="7">
        <v>459</v>
      </c>
      <c r="B676" s="43"/>
      <c r="C676" s="7"/>
      <c r="D676" s="7" t="str">
        <f>IF(D11="","",IF(H676="","",D11))</f>
        <v/>
      </c>
      <c r="E676" s="7"/>
      <c r="F676" s="7"/>
      <c r="G676" s="7"/>
      <c r="H676" s="10" t="str">
        <f>IF(AND(E676="",F676="",G676=""),"",IF(SUM(E676:G676)&gt;100,"ERROR",IF(AND(E10="TEST",SUM(E676:G676)&lt;=100),SUM(E676:G676),IF(AND(E10="*TEST",F676="",E676&lt;=30,G676&lt;=70),SUM(E676:G676),IF(AND(E10="*TEST",F676&lt;=20,E676&lt;=20,G676&lt;=60),SUM(E676:G676),IF(AND(E10="*TEST",F676="-",E676&lt;=20,G676&lt;=60),SUM(E676:G676),"ERROR"))))))</f>
        <v/>
      </c>
      <c r="I676" s="7" t="str">
        <f>IF(H676="ERROR","ERROR",IF(H676="","",IF(AND(F10="*LAB",F676="-"),"F",IF(H676&gt;69.5,"A",IF(H676&gt;59.5,"B",IF(H676&gt;49.5,"C",IF(AND(D10="*PROGRAM",H676&lt;49.5),"F",IF(H676&gt;44.5,"D",IF(H676&gt;39.5,"E","F")))))))))</f>
        <v/>
      </c>
      <c r="J676" s="7" t="str">
        <f t="shared" si="33"/>
        <v/>
      </c>
      <c r="K676" s="1"/>
    </row>
    <row r="677" ht="15.75" customHeight="1" spans="1:11">
      <c r="A677" s="7">
        <v>460</v>
      </c>
      <c r="B677" s="43"/>
      <c r="C677" s="7"/>
      <c r="D677" s="7" t="str">
        <f>IF(D11="","",IF(H677="","",D11))</f>
        <v/>
      </c>
      <c r="E677" s="7"/>
      <c r="F677" s="7"/>
      <c r="G677" s="7"/>
      <c r="H677" s="10" t="str">
        <f>IF(AND(E677="",F677="",G677=""),"",IF(SUM(E677:G677)&gt;100,"ERROR",IF(AND(E10="TEST",SUM(E677:G677)&lt;=100),SUM(E677:G677),IF(AND(E10="*TEST",F677="",E677&lt;=30,G677&lt;=70),SUM(E677:G677),IF(AND(E10="*TEST",F677&lt;=20,E677&lt;=20,G677&lt;=60),SUM(E677:G677),IF(AND(E10="*TEST",F677="-",E677&lt;=20,G677&lt;=60),SUM(E677:G677),"ERROR"))))))</f>
        <v/>
      </c>
      <c r="I677" s="7" t="str">
        <f>IF(H677="ERROR","ERROR",IF(H677="","",IF(AND(F10="*LAB",F677="-"),"F",IF(H677&gt;69.5,"A",IF(H677&gt;59.5,"B",IF(H677&gt;49.5,"C",IF(AND(D10="*PROGRAM",H677&lt;49.5),"F",IF(H677&gt;44.5,"D",IF(H677&gt;39.5,"E","F")))))))))</f>
        <v/>
      </c>
      <c r="J677" s="7" t="str">
        <f t="shared" si="33"/>
        <v/>
      </c>
      <c r="K677" s="1"/>
    </row>
    <row r="678" ht="15.75" customHeight="1" spans="1:11">
      <c r="A678" s="7">
        <v>461</v>
      </c>
      <c r="B678" s="43"/>
      <c r="C678" s="7"/>
      <c r="D678" s="7" t="str">
        <f>IF(D11="","",IF(H678="","",D11))</f>
        <v/>
      </c>
      <c r="E678" s="7"/>
      <c r="F678" s="7"/>
      <c r="G678" s="7"/>
      <c r="H678" s="10" t="str">
        <f>IF(AND(E678="",F678="",G678=""),"",IF(SUM(E678:G678)&gt;100,"ERROR",IF(AND(E10="TEST",SUM(E678:G678)&lt;=100),SUM(E678:G678),IF(AND(E10="*TEST",F678="",E678&lt;=30,G678&lt;=70),SUM(E678:G678),IF(AND(E10="*TEST",F678&lt;=20,E678&lt;=20,G678&lt;=60),SUM(E678:G678),IF(AND(E10="*TEST",F678="-",E678&lt;=20,G678&lt;=60),SUM(E678:G678),"ERROR"))))))</f>
        <v/>
      </c>
      <c r="I678" s="7" t="str">
        <f>IF(H678="ERROR","ERROR",IF(H678="","",IF(AND(F10="*LAB",F678="-"),"F",IF(H678&gt;69.5,"A",IF(H678&gt;59.5,"B",IF(H678&gt;49.5,"C",IF(AND(D10="*PROGRAM",H678&lt;49.5),"F",IF(H678&gt;44.5,"D",IF(H678&gt;39.5,"E","F")))))))))</f>
        <v/>
      </c>
      <c r="J678" s="7" t="str">
        <f t="shared" si="33"/>
        <v/>
      </c>
      <c r="K678" s="1"/>
    </row>
    <row r="679" ht="15.75" customHeight="1" spans="1:11">
      <c r="A679" s="7">
        <v>462</v>
      </c>
      <c r="B679" s="43"/>
      <c r="C679" s="7"/>
      <c r="D679" s="7" t="str">
        <f>IF(D11="","",IF(H679="","",D11))</f>
        <v/>
      </c>
      <c r="E679" s="7"/>
      <c r="F679" s="7"/>
      <c r="G679" s="7"/>
      <c r="H679" s="10" t="str">
        <f>IF(AND(E679="",F679="",G679=""),"",IF(SUM(E679:G679)&gt;100,"ERROR",IF(AND(E10="TEST",SUM(E679:G679)&lt;=100),SUM(E679:G679),IF(AND(E10="*TEST",F679="",E679&lt;=30,G679&lt;=70),SUM(E679:G679),IF(AND(E10="*TEST",F679&lt;=20,E679&lt;=20,G679&lt;=60),SUM(E679:G679),IF(AND(E10="*TEST",F679="-",E679&lt;=20,G679&lt;=60),SUM(E679:G679),"ERROR"))))))</f>
        <v/>
      </c>
      <c r="I679" s="7" t="str">
        <f>IF(H679="ERROR","ERROR",IF(H679="","",IF(AND(F10="*LAB",F679="-"),"F",IF(H679&gt;69.5,"A",IF(H679&gt;59.5,"B",IF(H679&gt;49.5,"C",IF(AND(D10="*PROGRAM",H679&lt;49.5),"F",IF(H679&gt;44.5,"D",IF(H679&gt;39.5,"E","F")))))))))</f>
        <v/>
      </c>
      <c r="J679" s="7" t="str">
        <f t="shared" si="33"/>
        <v/>
      </c>
      <c r="K679" s="1"/>
    </row>
    <row r="680" ht="15.75" customHeight="1" spans="1:11">
      <c r="A680" s="7">
        <v>463</v>
      </c>
      <c r="B680" s="43"/>
      <c r="C680" s="7"/>
      <c r="D680" s="7" t="str">
        <f>IF(D11="","",IF(H680="","",D11))</f>
        <v/>
      </c>
      <c r="E680" s="7"/>
      <c r="F680" s="7"/>
      <c r="G680" s="7"/>
      <c r="H680" s="10" t="str">
        <f>IF(AND(E680="",F680="",G680=""),"",IF(SUM(E680:G680)&gt;100,"ERROR",IF(AND(E10="TEST",SUM(E680:G680)&lt;=100),SUM(E680:G680),IF(AND(E10="*TEST",F680="",E680&lt;=30,G680&lt;=70),SUM(E680:G680),IF(AND(E10="*TEST",F680&lt;=20,E680&lt;=20,G680&lt;=60),SUM(E680:G680),IF(AND(E10="*TEST",F680="-",E680&lt;=20,G680&lt;=60),SUM(E680:G680),"ERROR"))))))</f>
        <v/>
      </c>
      <c r="I680" s="7" t="str">
        <f>IF(H680="ERROR","ERROR",IF(H680="","",IF(AND(F10="*LAB",F680="-"),"F",IF(H680&gt;69.5,"A",IF(H680&gt;59.5,"B",IF(H680&gt;49.5,"C",IF(AND(D10="*PROGRAM",H680&lt;49.5),"F",IF(H680&gt;44.5,"D",IF(H680&gt;39.5,"E","F")))))))))</f>
        <v/>
      </c>
      <c r="J680" s="7" t="str">
        <f t="shared" si="33"/>
        <v/>
      </c>
      <c r="K680" s="1"/>
    </row>
    <row r="681" ht="15.75" customHeight="1" spans="1:11">
      <c r="A681" s="7">
        <v>464</v>
      </c>
      <c r="B681" s="43"/>
      <c r="C681" s="7"/>
      <c r="D681" s="7" t="str">
        <f>IF(D11="","",IF(H681="","",D11))</f>
        <v/>
      </c>
      <c r="E681" s="7"/>
      <c r="F681" s="7"/>
      <c r="G681" s="7"/>
      <c r="H681" s="10" t="str">
        <f>IF(AND(E681="",F681="",G681=""),"",IF(SUM(E681:G681)&gt;100,"ERROR",IF(AND(E10="TEST",SUM(E681:G681)&lt;=100),SUM(E681:G681),IF(AND(E10="*TEST",F681="",E681&lt;=30,G681&lt;=70),SUM(E681:G681),IF(AND(E10="*TEST",F681&lt;=20,E681&lt;=20,G681&lt;=60),SUM(E681:G681),IF(AND(E10="*TEST",F681="-",E681&lt;=20,G681&lt;=60),SUM(E681:G681),"ERROR"))))))</f>
        <v/>
      </c>
      <c r="I681" s="7" t="str">
        <f>IF(H681="ERROR","ERROR",IF(H681="","",IF(AND(F10="*LAB",F681="-"),"F",IF(H681&gt;69.5,"A",IF(H681&gt;59.5,"B",IF(H681&gt;49.5,"C",IF(AND(D10="*PROGRAM",H681&lt;49.5),"F",IF(H681&gt;44.5,"D",IF(H681&gt;39.5,"E","F")))))))))</f>
        <v/>
      </c>
      <c r="J681" s="7" t="str">
        <f t="shared" si="33"/>
        <v/>
      </c>
      <c r="K681" s="1"/>
    </row>
    <row r="682" ht="15.75" customHeight="1" spans="1:11">
      <c r="A682" s="7">
        <v>465</v>
      </c>
      <c r="B682" s="43"/>
      <c r="C682" s="7"/>
      <c r="D682" s="7" t="str">
        <f>IF(D11="","",IF(H682="","",D11))</f>
        <v/>
      </c>
      <c r="E682" s="7"/>
      <c r="F682" s="7"/>
      <c r="G682" s="7"/>
      <c r="H682" s="10" t="str">
        <f>IF(AND(E682="",F682="",G682=""),"",IF(SUM(E682:G682)&gt;100,"ERROR",IF(AND(E10="TEST",SUM(E682:G682)&lt;=100),SUM(E682:G682),IF(AND(E10="*TEST",F682="",E682&lt;=30,G682&lt;=70),SUM(E682:G682),IF(AND(E10="*TEST",F682&lt;=20,E682&lt;=20,G682&lt;=60),SUM(E682:G682),IF(AND(E10="*TEST",F682="-",E682&lt;=20,G682&lt;=60),SUM(E682:G682),"ERROR"))))))</f>
        <v/>
      </c>
      <c r="I682" s="7" t="str">
        <f>IF(H682="ERROR","ERROR",IF(H682="","",IF(AND(F10="*LAB",F682="-"),"F",IF(H682&gt;69.5,"A",IF(H682&gt;59.5,"B",IF(H682&gt;49.5,"C",IF(AND(D10="*PROGRAM",H682&lt;49.5),"F",IF(H682&gt;44.5,"D",IF(H682&gt;39.5,"E","F")))))))))</f>
        <v/>
      </c>
      <c r="J682" s="7" t="str">
        <f t="shared" si="33"/>
        <v/>
      </c>
      <c r="K682" s="1"/>
    </row>
    <row r="683" ht="15.75" customHeight="1" spans="1:11">
      <c r="A683" s="7">
        <v>466</v>
      </c>
      <c r="B683" s="43"/>
      <c r="C683" s="7"/>
      <c r="D683" s="7" t="str">
        <f>IF(D11="","",IF(H683="","",D11))</f>
        <v/>
      </c>
      <c r="E683" s="7"/>
      <c r="F683" s="7"/>
      <c r="G683" s="7"/>
      <c r="H683" s="10" t="str">
        <f>IF(AND(E683="",F683="",G683=""),"",IF(SUM(E683:G683)&gt;100,"ERROR",IF(AND(E10="TEST",SUM(E683:G683)&lt;=100),SUM(E683:G683),IF(AND(E10="*TEST",F683="",E683&lt;=30,G683&lt;=70),SUM(E683:G683),IF(AND(E10="*TEST",F683&lt;=20,E683&lt;=20,G683&lt;=60),SUM(E683:G683),IF(AND(E10="*TEST",F683="-",E683&lt;=20,G683&lt;=60),SUM(E683:G683),"ERROR"))))))</f>
        <v/>
      </c>
      <c r="I683" s="7" t="str">
        <f>IF(H683="ERROR","ERROR",IF(H683="","",IF(AND(F10="*LAB",F683="-"),"F",IF(H683&gt;69.5,"A",IF(H683&gt;59.5,"B",IF(H683&gt;49.5,"C",IF(AND(D10="*PROGRAM",H683&lt;49.5),"F",IF(H683&gt;44.5,"D",IF(H683&gt;39.5,"E","F")))))))))</f>
        <v/>
      </c>
      <c r="J683" s="7" t="str">
        <f t="shared" si="33"/>
        <v/>
      </c>
      <c r="K683" s="1"/>
    </row>
    <row r="684" ht="15.75" customHeight="1" spans="1:11">
      <c r="A684" s="7">
        <v>467</v>
      </c>
      <c r="B684" s="43"/>
      <c r="C684" s="7"/>
      <c r="D684" s="7" t="str">
        <f>IF(D11="","",IF(H684="","",D11))</f>
        <v/>
      </c>
      <c r="E684" s="7"/>
      <c r="F684" s="7"/>
      <c r="G684" s="7"/>
      <c r="H684" s="10" t="str">
        <f>IF(AND(E684="",F684="",G684=""),"",IF(SUM(E684:G684)&gt;100,"ERROR",IF(AND(E10="TEST",SUM(E684:G684)&lt;=100),SUM(E684:G684),IF(AND(E10="*TEST",F684="",E684&lt;=30,G684&lt;=70),SUM(E684:G684),IF(AND(E10="*TEST",F684&lt;=20,E684&lt;=20,G684&lt;=60),SUM(E684:G684),IF(AND(E10="*TEST",F684="-",E684&lt;=20,G684&lt;=60),SUM(E684:G684),"ERROR"))))))</f>
        <v/>
      </c>
      <c r="I684" s="7" t="str">
        <f>IF(H684="ERROR","ERROR",IF(H684="","",IF(AND(F10="*LAB",F684="-"),"F",IF(H684&gt;69.5,"A",IF(H684&gt;59.5,"B",IF(H684&gt;49.5,"C",IF(AND(D10="*PROGRAM",H684&lt;49.5),"F",IF(H684&gt;44.5,"D",IF(H684&gt;39.5,"E","F")))))))))</f>
        <v/>
      </c>
      <c r="J684" s="7" t="str">
        <f t="shared" si="33"/>
        <v/>
      </c>
      <c r="K684" s="1"/>
    </row>
    <row r="685" ht="15.75" customHeight="1" spans="1:11">
      <c r="A685" s="7">
        <v>468</v>
      </c>
      <c r="B685" s="43"/>
      <c r="C685" s="7"/>
      <c r="D685" s="7" t="str">
        <f>IF(D11="","",IF(H685="","",D11))</f>
        <v/>
      </c>
      <c r="E685" s="7"/>
      <c r="F685" s="7"/>
      <c r="G685" s="7"/>
      <c r="H685" s="10" t="str">
        <f>IF(AND(E685="",F685="",G685=""),"",IF(SUM(E685:G685)&gt;100,"ERROR",IF(AND(E10="TEST",SUM(E685:G685)&lt;=100),SUM(E685:G685),IF(AND(E10="*TEST",F685="",E685&lt;=30,G685&lt;=70),SUM(E685:G685),IF(AND(E10="*TEST",F685&lt;=20,E685&lt;=20,G685&lt;=60),SUM(E685:G685),IF(AND(E10="*TEST",F685="-",E685&lt;=20,G685&lt;=60),SUM(E685:G685),"ERROR"))))))</f>
        <v/>
      </c>
      <c r="I685" s="7" t="str">
        <f>IF(H685="ERROR","ERROR",IF(H685="","",IF(AND(F10="*LAB",F685="-"),"F",IF(H685&gt;69.5,"A",IF(H685&gt;59.5,"B",IF(H685&gt;49.5,"C",IF(AND(D10="*PROGRAM",H685&lt;49.5),"F",IF(H685&gt;44.5,"D",IF(H685&gt;39.5,"E","F")))))))))</f>
        <v/>
      </c>
      <c r="J685" s="7" t="str">
        <f t="shared" si="33"/>
        <v/>
      </c>
      <c r="K685" s="1"/>
    </row>
    <row r="686" ht="15.75" customHeight="1" spans="1:11">
      <c r="A686" s="7">
        <v>469</v>
      </c>
      <c r="B686" s="43"/>
      <c r="C686" s="7"/>
      <c r="D686" s="7" t="str">
        <f>IF(D11="","",IF(H686="","",D11))</f>
        <v/>
      </c>
      <c r="E686" s="7"/>
      <c r="F686" s="7"/>
      <c r="G686" s="7"/>
      <c r="H686" s="10" t="str">
        <f>IF(AND(E686="",F686="",G686=""),"",IF(SUM(E686:G686)&gt;100,"ERROR",IF(AND(E10="TEST",SUM(E686:G686)&lt;=100),SUM(E686:G686),IF(AND(E10="*TEST",F686="",E686&lt;=30,G686&lt;=70),SUM(E686:G686),IF(AND(E10="*TEST",F686&lt;=20,E686&lt;=20,G686&lt;=60),SUM(E686:G686),IF(AND(E10="*TEST",F686="-",E686&lt;=20,G686&lt;=60),SUM(E686:G686),"ERROR"))))))</f>
        <v/>
      </c>
      <c r="I686" s="7" t="str">
        <f>IF(H686="ERROR","ERROR",IF(H686="","",IF(AND(F10="*LAB",F686="-"),"F",IF(H686&gt;69.5,"A",IF(H686&gt;59.5,"B",IF(H686&gt;49.5,"C",IF(AND(D10="*PROGRAM",H686&lt;49.5),"F",IF(H686&gt;44.5,"D",IF(H686&gt;39.5,"E","F")))))))))</f>
        <v/>
      </c>
      <c r="J686" s="7" t="str">
        <f t="shared" si="33"/>
        <v/>
      </c>
      <c r="K686" s="1"/>
    </row>
    <row r="687" ht="15.75" customHeight="1" spans="1:11">
      <c r="A687" s="7">
        <v>470</v>
      </c>
      <c r="B687" s="43"/>
      <c r="C687" s="7"/>
      <c r="D687" s="7" t="str">
        <f>IF(D11="","",IF(H687="","",D11))</f>
        <v/>
      </c>
      <c r="E687" s="7"/>
      <c r="F687" s="7"/>
      <c r="G687" s="7"/>
      <c r="H687" s="10" t="str">
        <f>IF(AND(E687="",F687="",G687=""),"",IF(SUM(E687:G687)&gt;100,"ERROR",IF(AND(E10="TEST",SUM(E687:G687)&lt;=100),SUM(E687:G687),IF(AND(E10="*TEST",F687="",E687&lt;=30,G687&lt;=70),SUM(E687:G687),IF(AND(E10="*TEST",F687&lt;=20,E687&lt;=20,G687&lt;=60),SUM(E687:G687),IF(AND(E10="*TEST",F687="-",E687&lt;=20,G687&lt;=60),SUM(E687:G687),"ERROR"))))))</f>
        <v/>
      </c>
      <c r="I687" s="7" t="str">
        <f>IF(H687="ERROR","ERROR",IF(H687="","",IF(AND(F10="*LAB",F687="-"),"F",IF(H687&gt;69.5,"A",IF(H687&gt;59.5,"B",IF(H687&gt;49.5,"C",IF(AND(D10="*PROGRAM",H687&lt;49.5),"F",IF(H687&gt;44.5,"D",IF(H687&gt;39.5,"E","F")))))))))</f>
        <v/>
      </c>
      <c r="J687" s="7" t="str">
        <f t="shared" si="33"/>
        <v/>
      </c>
      <c r="K687" s="1"/>
    </row>
    <row r="688" ht="15.75" customHeight="1" spans="1:11">
      <c r="A688" s="7">
        <v>471</v>
      </c>
      <c r="B688" s="43"/>
      <c r="C688" s="7"/>
      <c r="D688" s="7" t="str">
        <f>IF(D11="","",IF(H688="","",D11))</f>
        <v/>
      </c>
      <c r="E688" s="7"/>
      <c r="F688" s="7"/>
      <c r="G688" s="7"/>
      <c r="H688" s="10" t="str">
        <f>IF(AND(E688="",F688="",G688=""),"",IF(SUM(E688:G688)&gt;100,"ERROR",IF(AND(E10="TEST",SUM(E688:G688)&lt;=100),SUM(E688:G688),IF(AND(E10="*TEST",F688="",E688&lt;=30,G688&lt;=70),SUM(E688:G688),IF(AND(E10="*TEST",F688&lt;=20,E688&lt;=20,G688&lt;=60),SUM(E688:G688),IF(AND(E10="*TEST",F688="-",E688&lt;=20,G688&lt;=60),SUM(E688:G688),"ERROR"))))))</f>
        <v/>
      </c>
      <c r="I688" s="7" t="str">
        <f>IF(H688="ERROR","ERROR",IF(H688="","",IF(AND(F10="*LAB",F688="-"),"F",IF(H688&gt;69.5,"A",IF(H688&gt;59.5,"B",IF(H688&gt;49.5,"C",IF(AND(D10="*PROGRAM",H688&lt;49.5),"F",IF(H688&gt;44.5,"D",IF(H688&gt;39.5,"E","F")))))))))</f>
        <v/>
      </c>
      <c r="J688" s="7" t="str">
        <f t="shared" si="33"/>
        <v/>
      </c>
      <c r="K688" s="1"/>
    </row>
    <row r="689" ht="15.75" customHeight="1" spans="1:11">
      <c r="A689" s="7">
        <v>472</v>
      </c>
      <c r="B689" s="43"/>
      <c r="C689" s="7"/>
      <c r="D689" s="7" t="str">
        <f>IF(D11="","",IF(H689="","",D11))</f>
        <v/>
      </c>
      <c r="E689" s="7"/>
      <c r="F689" s="7"/>
      <c r="G689" s="7"/>
      <c r="H689" s="10" t="str">
        <f>IF(AND(E689="",F689="",G689=""),"",IF(SUM(E689:G689)&gt;100,"ERROR",IF(AND(E10="TEST",SUM(E689:G689)&lt;=100),SUM(E689:G689),IF(AND(E10="*TEST",F689="",E689&lt;=30,G689&lt;=70),SUM(E689:G689),IF(AND(E10="*TEST",F689&lt;=20,E689&lt;=20,G689&lt;=60),SUM(E689:G689),IF(AND(E10="*TEST",F689="-",E689&lt;=20,G689&lt;=60),SUM(E689:G689),"ERROR"))))))</f>
        <v/>
      </c>
      <c r="I689" s="7" t="str">
        <f>IF(H689="ERROR","ERROR",IF(H689="","",IF(AND(F10="*LAB",F689="-"),"F",IF(H689&gt;69.5,"A",IF(H689&gt;59.5,"B",IF(H689&gt;49.5,"C",IF(AND(D10="*PROGRAM",H689&lt;49.5),"F",IF(H689&gt;44.5,"D",IF(H689&gt;39.5,"E","F")))))))))</f>
        <v/>
      </c>
      <c r="J689" s="7" t="str">
        <f t="shared" si="33"/>
        <v/>
      </c>
      <c r="K689" s="1"/>
    </row>
    <row r="690" ht="15.75" customHeight="1" spans="1:11">
      <c r="A690" s="7">
        <v>473</v>
      </c>
      <c r="B690" s="43"/>
      <c r="C690" s="7"/>
      <c r="D690" s="7" t="str">
        <f>IF(D11="","",IF(H690="","",D11))</f>
        <v/>
      </c>
      <c r="E690" s="7"/>
      <c r="F690" s="7"/>
      <c r="G690" s="7"/>
      <c r="H690" s="10" t="str">
        <f>IF(AND(E690="",F690="",G690=""),"",IF(SUM(E690:G690)&gt;100,"ERROR",IF(AND(E10="TEST",SUM(E690:G690)&lt;=100),SUM(E690:G690),IF(AND(E10="*TEST",F690="",E690&lt;=30,G690&lt;=70),SUM(E690:G690),IF(AND(E10="*TEST",F690&lt;=20,E690&lt;=20,G690&lt;=60),SUM(E690:G690),IF(AND(E10="*TEST",F690="-",E690&lt;=20,G690&lt;=60),SUM(E690:G690),"ERROR"))))))</f>
        <v/>
      </c>
      <c r="I690" s="7" t="str">
        <f>IF(H690="ERROR","ERROR",IF(H690="","",IF(AND(F10="*LAB",F690="-"),"F",IF(H690&gt;69.5,"A",IF(H690&gt;59.5,"B",IF(H690&gt;49.5,"C",IF(AND(D10="*PROGRAM",H690&lt;49.5),"F",IF(H690&gt;44.5,"D",IF(H690&gt;39.5,"E","F")))))))))</f>
        <v/>
      </c>
      <c r="J690" s="7" t="str">
        <f t="shared" si="33"/>
        <v/>
      </c>
      <c r="K690" s="1"/>
    </row>
    <row r="691" ht="15.75" customHeight="1" spans="1:11">
      <c r="A691" s="7">
        <v>474</v>
      </c>
      <c r="B691" s="43"/>
      <c r="C691" s="7"/>
      <c r="D691" s="7" t="str">
        <f>IF(D11="","",IF(H691="","",D11))</f>
        <v/>
      </c>
      <c r="E691" s="7"/>
      <c r="F691" s="7"/>
      <c r="G691" s="7"/>
      <c r="H691" s="10" t="str">
        <f>IF(AND(E691="",F691="",G691=""),"",IF(SUM(E691:G691)&gt;100,"ERROR",IF(AND(E10="TEST",SUM(E691:G691)&lt;=100),SUM(E691:G691),IF(AND(E10="*TEST",F691="",E691&lt;=30,G691&lt;=70),SUM(E691:G691),IF(AND(E10="*TEST",F691&lt;=20,E691&lt;=20,G691&lt;=60),SUM(E691:G691),IF(AND(E10="*TEST",F691="-",E691&lt;=20,G691&lt;=60),SUM(E691:G691),"ERROR"))))))</f>
        <v/>
      </c>
      <c r="I691" s="7" t="str">
        <f>IF(H691="ERROR","ERROR",IF(H691="","",IF(AND(F10="*LAB",F691="-"),"F",IF(H691&gt;69.5,"A",IF(H691&gt;59.5,"B",IF(H691&gt;49.5,"C",IF(AND(D10="*PROGRAM",H691&lt;49.5),"F",IF(H691&gt;44.5,"D",IF(H691&gt;39.5,"E","F")))))))))</f>
        <v/>
      </c>
      <c r="J691" s="7" t="str">
        <f t="shared" si="33"/>
        <v/>
      </c>
      <c r="K691" s="1"/>
    </row>
    <row r="692" ht="15.75" customHeight="1" spans="1:11">
      <c r="A692" s="7">
        <v>475</v>
      </c>
      <c r="B692" s="43"/>
      <c r="C692" s="7"/>
      <c r="D692" s="7" t="str">
        <f>IF(D11="","",IF(H692="","",D11))</f>
        <v/>
      </c>
      <c r="E692" s="7"/>
      <c r="F692" s="7"/>
      <c r="G692" s="7"/>
      <c r="H692" s="10" t="str">
        <f>IF(AND(E692="",F692="",G692=""),"",IF(SUM(E692:G692)&gt;100,"ERROR",IF(AND(E10="TEST",SUM(E692:G692)&lt;=100),SUM(E692:G692),IF(AND(E10="*TEST",F692="",E692&lt;=30,G692&lt;=70),SUM(E692:G692),IF(AND(E10="*TEST",F692&lt;=20,E692&lt;=20,G692&lt;=60),SUM(E692:G692),IF(AND(E10="*TEST",F692="-",E692&lt;=20,G692&lt;=60),SUM(E692:G692),"ERROR"))))))</f>
        <v/>
      </c>
      <c r="I692" s="7" t="str">
        <f>IF(H692="ERROR","ERROR",IF(H692="","",IF(AND(F10="*LAB",F692="-"),"F",IF(H692&gt;69.5,"A",IF(H692&gt;59.5,"B",IF(H692&gt;49.5,"C",IF(AND(D10="*PROGRAM",H692&lt;49.5),"F",IF(H692&gt;44.5,"D",IF(H692&gt;39.5,"E","F")))))))))</f>
        <v/>
      </c>
      <c r="J692" s="7" t="str">
        <f t="shared" si="33"/>
        <v/>
      </c>
      <c r="K692" s="1"/>
    </row>
    <row r="693" ht="15.75" customHeight="1" spans="1:11">
      <c r="A693" s="7">
        <v>476</v>
      </c>
      <c r="B693" s="43"/>
      <c r="C693" s="7"/>
      <c r="D693" s="7" t="str">
        <f>IF(D11="","",IF(H693="","",D11))</f>
        <v/>
      </c>
      <c r="E693" s="7"/>
      <c r="F693" s="7"/>
      <c r="G693" s="7"/>
      <c r="H693" s="10" t="str">
        <f>IF(AND(E693="",F693="",G693=""),"",IF(SUM(E693:G693)&gt;100,"ERROR",IF(AND(E10="TEST",SUM(E693:G693)&lt;=100),SUM(E693:G693),IF(AND(E10="*TEST",F693="",E693&lt;=30,G693&lt;=70),SUM(E693:G693),IF(AND(E10="*TEST",F693&lt;=20,E693&lt;=20,G693&lt;=60),SUM(E693:G693),IF(AND(E10="*TEST",F693="-",E693&lt;=20,G693&lt;=60),SUM(E693:G693),"ERROR"))))))</f>
        <v/>
      </c>
      <c r="I693" s="7" t="str">
        <f>IF(H693="ERROR","ERROR",IF(H693="","",IF(AND(F10="*LAB",F693="-"),"F",IF(H693&gt;69.5,"A",IF(H693&gt;59.5,"B",IF(H693&gt;49.5,"C",IF(AND(D10="*PROGRAM",H693&lt;49.5),"F",IF(H693&gt;44.5,"D",IF(H693&gt;39.5,"E","F")))))))))</f>
        <v/>
      </c>
      <c r="J693" s="7" t="str">
        <f t="shared" si="33"/>
        <v/>
      </c>
      <c r="K693" s="1"/>
    </row>
    <row r="694" ht="15.75" customHeight="1" spans="1:11">
      <c r="A694" s="7">
        <v>477</v>
      </c>
      <c r="B694" s="43"/>
      <c r="C694" s="7"/>
      <c r="D694" s="7" t="str">
        <f>IF(D11="","",IF(H694="","",D11))</f>
        <v/>
      </c>
      <c r="E694" s="7"/>
      <c r="F694" s="7"/>
      <c r="G694" s="7"/>
      <c r="H694" s="10" t="str">
        <f>IF(AND(E694="",F694="",G694=""),"",IF(SUM(E694:G694)&gt;100,"ERROR",IF(AND(E10="TEST",SUM(E694:G694)&lt;=100),SUM(E694:G694),IF(AND(E10="*TEST",F694="",E694&lt;=30,G694&lt;=70),SUM(E694:G694),IF(AND(E10="*TEST",F694&lt;=20,E694&lt;=20,G694&lt;=60),SUM(E694:G694),IF(AND(E10="*TEST",F694="-",E694&lt;=20,G694&lt;=60),SUM(E694:G694),"ERROR"))))))</f>
        <v/>
      </c>
      <c r="I694" s="7" t="str">
        <f>IF(H694="ERROR","ERROR",IF(H694="","",IF(AND(F10="*LAB",F694="-"),"F",IF(H694&gt;69.5,"A",IF(H694&gt;59.5,"B",IF(H694&gt;49.5,"C",IF(AND(D10="*PROGRAM",H694&lt;49.5),"F",IF(H694&gt;44.5,"D",IF(H694&gt;39.5,"E","F")))))))))</f>
        <v/>
      </c>
      <c r="J694" s="7" t="str">
        <f t="shared" si="33"/>
        <v/>
      </c>
      <c r="K694" s="1"/>
    </row>
    <row r="695" ht="15.75" customHeight="1" spans="1:11">
      <c r="A695" s="7">
        <v>478</v>
      </c>
      <c r="B695" s="43"/>
      <c r="C695" s="7"/>
      <c r="D695" s="7" t="str">
        <f>IF(D11="","",IF(H695="","",D11))</f>
        <v/>
      </c>
      <c r="E695" s="7"/>
      <c r="F695" s="7"/>
      <c r="G695" s="7"/>
      <c r="H695" s="10" t="str">
        <f>IF(AND(E695="",F695="",G695=""),"",IF(SUM(E695:G695)&gt;100,"ERROR",IF(AND(E10="TEST",SUM(E695:G695)&lt;=100),SUM(E695:G695),IF(AND(E10="*TEST",F695="",E695&lt;=30,G695&lt;=70),SUM(E695:G695),IF(AND(E10="*TEST",F695&lt;=20,E695&lt;=20,G695&lt;=60),SUM(E695:G695),IF(AND(E10="*TEST",F695="-",E695&lt;=20,G695&lt;=60),SUM(E695:G695),"ERROR"))))))</f>
        <v/>
      </c>
      <c r="I695" s="7" t="str">
        <f>IF(H695="ERROR","ERROR",IF(H695="","",IF(AND(F10="*LAB",F695="-"),"F",IF(H695&gt;69.5,"A",IF(H695&gt;59.5,"B",IF(H695&gt;49.5,"C",IF(AND(D10="*PROGRAM",H695&lt;49.5),"F",IF(H695&gt;44.5,"D",IF(H695&gt;39.5,"E","F")))))))))</f>
        <v/>
      </c>
      <c r="J695" s="7" t="str">
        <f t="shared" si="33"/>
        <v/>
      </c>
      <c r="K695" s="1"/>
    </row>
    <row r="696" ht="15.75" customHeight="1" spans="1:11">
      <c r="A696" s="7">
        <v>479</v>
      </c>
      <c r="B696" s="43"/>
      <c r="C696" s="7"/>
      <c r="D696" s="7" t="str">
        <f>IF(D11="","",IF(H696="","",D11))</f>
        <v/>
      </c>
      <c r="E696" s="7"/>
      <c r="F696" s="7"/>
      <c r="G696" s="7"/>
      <c r="H696" s="10" t="str">
        <f>IF(AND(E696="",F696="",G696=""),"",IF(SUM(E696:G696)&gt;100,"ERROR",IF(AND(E10="TEST",SUM(E696:G696)&lt;=100),SUM(E696:G696),IF(AND(E10="*TEST",F696="",E696&lt;=30,G696&lt;=70),SUM(E696:G696),IF(AND(E10="*TEST",F696&lt;=20,E696&lt;=20,G696&lt;=60),SUM(E696:G696),IF(AND(E10="*TEST",F696="-",E696&lt;=20,G696&lt;=60),SUM(E696:G696),"ERROR"))))))</f>
        <v/>
      </c>
      <c r="I696" s="7" t="str">
        <f>IF(H696="ERROR","ERROR",IF(H696="","",IF(AND(F10="*LAB",F696="-"),"F",IF(H696&gt;69.5,"A",IF(H696&gt;59.5,"B",IF(H696&gt;49.5,"C",IF(AND(D10="*PROGRAM",H696&lt;49.5),"F",IF(H696&gt;44.5,"D",IF(H696&gt;39.5,"E","F")))))))))</f>
        <v/>
      </c>
      <c r="J696" s="7" t="str">
        <f t="shared" si="33"/>
        <v/>
      </c>
      <c r="K696" s="1"/>
    </row>
    <row r="697" ht="15.75" customHeight="1" spans="1:11">
      <c r="A697" s="7">
        <v>480</v>
      </c>
      <c r="B697" s="43"/>
      <c r="C697" s="7"/>
      <c r="D697" s="7" t="str">
        <f>IF(D11="","",IF(H697="","",D11))</f>
        <v/>
      </c>
      <c r="E697" s="7"/>
      <c r="F697" s="7"/>
      <c r="G697" s="7"/>
      <c r="H697" s="10" t="str">
        <f>IF(AND(E697="",F697="",G697=""),"",IF(SUM(E697:G697)&gt;100,"ERROR",IF(AND(E10="TEST",SUM(E697:G697)&lt;=100),SUM(E697:G697),IF(AND(E10="*TEST",F697="",E697&lt;=30,G697&lt;=70),SUM(E697:G697),IF(AND(E10="*TEST",F697&lt;=20,E697&lt;=20,G697&lt;=60),SUM(E697:G697),IF(AND(E10="*TEST",F697="-",E697&lt;=20,G697&lt;=60),SUM(E697:G697),"ERROR"))))))</f>
        <v/>
      </c>
      <c r="I697" s="7" t="str">
        <f>IF(H697="ERROR","ERROR",IF(H697="","",IF(AND(F10="*LAB",F697="-"),"F",IF(H697&gt;69.5,"A",IF(H697&gt;59.5,"B",IF(H697&gt;49.5,"C",IF(AND(D10="*PROGRAM",H697&lt;49.5),"F",IF(H697&gt;44.5,"D",IF(H697&gt;39.5,"E","F")))))))))</f>
        <v/>
      </c>
      <c r="J697" s="7" t="str">
        <f t="shared" si="33"/>
        <v/>
      </c>
      <c r="K697" s="1"/>
    </row>
    <row r="698" ht="24.75" customHeight="1" spans="1:11">
      <c r="A698" s="1"/>
      <c r="B698" s="44"/>
      <c r="C698" s="1"/>
      <c r="D698" s="1"/>
      <c r="E698" s="1"/>
      <c r="F698" s="1"/>
      <c r="G698" s="13"/>
      <c r="H698" s="14"/>
      <c r="I698" s="14"/>
      <c r="J698" s="14"/>
      <c r="K698" s="1"/>
    </row>
    <row r="699" ht="15.75" customHeight="1" spans="1:11">
      <c r="A699" s="1"/>
      <c r="B699" s="15" t="s">
        <v>60</v>
      </c>
      <c r="C699" s="13"/>
      <c r="D699" s="13"/>
      <c r="E699" s="13"/>
      <c r="F699" s="13"/>
      <c r="G699" s="16" t="s">
        <v>61</v>
      </c>
      <c r="H699" s="17"/>
      <c r="I699" s="17"/>
      <c r="J699" s="17"/>
      <c r="K699" s="1"/>
    </row>
    <row r="700" ht="15.75" customHeight="1" spans="1:11">
      <c r="A700" s="1" t="str">
        <f>IF(AND(I717="",I658&lt;&gt;""),A889,"")</f>
        <v/>
      </c>
      <c r="B700" s="2" t="str">
        <f>IF(A700="","",B889)</f>
        <v/>
      </c>
      <c r="C700" s="16" t="s">
        <v>62</v>
      </c>
      <c r="D700" s="17"/>
      <c r="E700" s="17"/>
      <c r="F700" s="17"/>
      <c r="G700" s="1"/>
      <c r="H700" s="1"/>
      <c r="I700" s="1"/>
      <c r="J700" s="1"/>
      <c r="K700" s="1"/>
    </row>
    <row r="701" ht="15.75" customHeight="1" spans="1:11">
      <c r="A701" s="1" t="str">
        <f>IF(A700="","",A890)</f>
        <v/>
      </c>
      <c r="B701" s="2" t="str">
        <f>IF(A700="","",B890)</f>
        <v/>
      </c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 spans="1:11">
      <c r="A702" s="1" t="str">
        <f>IF(A700="","",A891)</f>
        <v/>
      </c>
      <c r="B702" s="2" t="str">
        <f>IF(A700="","",B891)</f>
        <v/>
      </c>
      <c r="C702" s="18" t="s">
        <v>63</v>
      </c>
      <c r="D702" s="17"/>
      <c r="E702" s="17"/>
      <c r="F702" s="17"/>
      <c r="G702" s="17"/>
      <c r="H702" s="17"/>
      <c r="I702" s="17"/>
      <c r="J702" s="24"/>
      <c r="K702" s="1"/>
    </row>
    <row r="703" ht="15.75" customHeight="1" spans="1:11">
      <c r="A703" s="1" t="str">
        <f>IF(A700="","",A892)</f>
        <v/>
      </c>
      <c r="B703" s="2" t="str">
        <f>IF(A700="","",B892)</f>
        <v/>
      </c>
      <c r="C703" s="19" t="s">
        <v>64</v>
      </c>
      <c r="F703" s="15"/>
      <c r="G703" s="15" t="s">
        <v>65</v>
      </c>
      <c r="J703" s="25"/>
      <c r="K703" s="1"/>
    </row>
    <row r="704" ht="15.75" customHeight="1" spans="1:11">
      <c r="A704" s="1" t="str">
        <f>IF(A700="","",A893)</f>
        <v/>
      </c>
      <c r="B704" s="2" t="str">
        <f>IF(A700="","",B893)</f>
        <v/>
      </c>
      <c r="C704" s="19" t="s">
        <v>66</v>
      </c>
      <c r="F704" s="15"/>
      <c r="G704" s="15" t="s">
        <v>67</v>
      </c>
      <c r="J704" s="25"/>
      <c r="K704" s="1"/>
    </row>
    <row r="705" ht="15.75" customHeight="1" spans="1:11">
      <c r="A705" s="1" t="str">
        <f>IF(A700="","",A894)</f>
        <v/>
      </c>
      <c r="B705" s="2" t="str">
        <f>IF(A700="","",B894)</f>
        <v/>
      </c>
      <c r="C705" s="20" t="s">
        <v>68</v>
      </c>
      <c r="D705" s="14"/>
      <c r="E705" s="14"/>
      <c r="F705" s="21"/>
      <c r="G705" s="21" t="s">
        <v>69</v>
      </c>
      <c r="H705" s="14"/>
      <c r="I705" s="14"/>
      <c r="J705" s="26"/>
      <c r="K705" s="1"/>
    </row>
    <row r="706" ht="15.75" customHeight="1" spans="1:11">
      <c r="A706" s="1" t="str">
        <f>IF(A700="","",A895)</f>
        <v/>
      </c>
      <c r="B706" s="22" t="str">
        <f>IF(A700="","",B895)</f>
        <v/>
      </c>
      <c r="C706" s="1"/>
      <c r="D706" s="1"/>
      <c r="E706" s="1"/>
      <c r="F706" s="1"/>
      <c r="G706" s="1"/>
      <c r="H706" s="1"/>
      <c r="I706" s="1"/>
      <c r="J706" s="27" t="s">
        <v>184</v>
      </c>
      <c r="K706" s="1"/>
    </row>
    <row r="707" ht="15.75" customHeight="1" spans="1:11">
      <c r="A707" s="23"/>
      <c r="B707" s="23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 spans="1:11">
      <c r="A708" s="1"/>
      <c r="B708" s="3" t="s">
        <v>0</v>
      </c>
      <c r="K708" s="1"/>
    </row>
    <row r="709" ht="15.75" customHeight="1" spans="1:11">
      <c r="A709" s="1"/>
      <c r="B709" s="4" t="s">
        <v>1</v>
      </c>
      <c r="K709" s="1"/>
    </row>
    <row r="710" ht="15.75" customHeight="1" spans="1:1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 spans="1:11">
      <c r="A711" s="2" t="str">
        <f t="shared" ref="A711:A714" si="34">A5</f>
        <v>School of Student: SEET</v>
      </c>
      <c r="D711" s="1"/>
      <c r="E711" s="5">
        <f t="shared" ref="E711:E714" si="35">E5</f>
        <v>0</v>
      </c>
      <c r="K711" s="1"/>
    </row>
    <row r="712" ht="15.75" customHeight="1" spans="1:11">
      <c r="A712" s="2" t="str">
        <f t="shared" si="34"/>
        <v>Department: BIOMEDICAL ENGINEERING</v>
      </c>
      <c r="D712" s="1"/>
      <c r="E712" s="5" t="str">
        <f t="shared" si="35"/>
        <v>Session: ---------------------------------</v>
      </c>
      <c r="K712" s="1"/>
    </row>
    <row r="713" ht="15.75" customHeight="1" spans="1:11">
      <c r="A713" s="2" t="str">
        <f t="shared" si="34"/>
        <v>Title of Course: ------------------------</v>
      </c>
      <c r="D713" s="1"/>
      <c r="E713" s="5" t="str">
        <f t="shared" si="35"/>
        <v>Course Code: -------------------------</v>
      </c>
      <c r="K713" s="1"/>
    </row>
    <row r="714" ht="15.75" customHeight="1" spans="1:11">
      <c r="A714" s="2" t="str">
        <f t="shared" si="34"/>
        <v>School Offering Course: ----------------------------</v>
      </c>
      <c r="D714" s="1"/>
      <c r="E714" s="5" t="str">
        <f t="shared" si="35"/>
        <v>Date: -----------------------------</v>
      </c>
      <c r="K714" s="1"/>
    </row>
    <row r="715" ht="15.75" customHeight="1" spans="1:11">
      <c r="A715" s="1"/>
      <c r="B715" s="2"/>
      <c r="C715" s="1"/>
      <c r="D715" s="5"/>
      <c r="E715" s="5"/>
      <c r="F715" s="5"/>
      <c r="G715" s="5"/>
      <c r="H715" s="5"/>
      <c r="I715" s="5"/>
      <c r="J715" s="5"/>
      <c r="K715" s="1"/>
    </row>
    <row r="716" ht="15.75" customHeight="1" spans="1:11">
      <c r="A716" s="6" t="s">
        <v>9</v>
      </c>
      <c r="B716" s="6" t="s">
        <v>10</v>
      </c>
      <c r="C716" s="6" t="s">
        <v>11</v>
      </c>
      <c r="D716" s="6" t="s">
        <v>12</v>
      </c>
      <c r="E716" s="6" t="s">
        <v>13</v>
      </c>
      <c r="F716" s="6" t="s">
        <v>14</v>
      </c>
      <c r="G716" s="6" t="s">
        <v>15</v>
      </c>
      <c r="H716" s="6" t="s">
        <v>16</v>
      </c>
      <c r="I716" s="6" t="s">
        <v>17</v>
      </c>
      <c r="J716" s="6" t="s">
        <v>18</v>
      </c>
      <c r="K716" s="1"/>
    </row>
    <row r="717" ht="15.75" customHeight="1" spans="1:11">
      <c r="A717" s="28">
        <v>481</v>
      </c>
      <c r="B717" s="45"/>
      <c r="C717" s="28"/>
      <c r="D717" s="7" t="str">
        <f>IF(D11="","",IF(H717="","",D11))</f>
        <v/>
      </c>
      <c r="E717" s="28"/>
      <c r="F717" s="28"/>
      <c r="G717" s="28"/>
      <c r="H717" s="10" t="str">
        <f>IF(AND(E717="",F717="",G717=""),"",IF(SUM(E717:G717)&gt;100,"ERROR",IF(AND(E10="TEST",SUM(E717:G717)&lt;=100),SUM(E717:G717),IF(AND(E10="*TEST",F717="",E717&lt;=30,G717&lt;=70),SUM(E717:G717),IF(AND(E10="*TEST",F717&lt;=20,E717&lt;=20,G717&lt;=60),SUM(E717:G717),IF(AND(E10="*TEST",F717="-",E717&lt;=20,G717&lt;=60),SUM(E717:G717),"ERROR"))))))</f>
        <v/>
      </c>
      <c r="I717" s="7" t="str">
        <f>IF(H717="ERROR","ERROR",IF(H717="","",IF(AND(F10="*LAB",F717="-"),"F",IF(H717&gt;69.5,"A",IF(H717&gt;59.5,"B",IF(H717&gt;49.5,"C",IF(AND(D10="*PROGRAM",H717&lt;49.5),"F",IF(H717&gt;44.5,"D",IF(H717&gt;39.5,"E","F")))))))))</f>
        <v/>
      </c>
      <c r="J717" s="7" t="str">
        <f t="shared" ref="J717:J756" si="36">IF(H717="ERROR","ERROR",IF(I717="","",IF(I717="F","FAIL","PASS")))</f>
        <v/>
      </c>
      <c r="K717" s="1"/>
    </row>
    <row r="718" ht="15.75" customHeight="1" spans="1:11">
      <c r="A718" s="7">
        <v>482</v>
      </c>
      <c r="B718" s="43"/>
      <c r="C718" s="7"/>
      <c r="D718" s="7" t="str">
        <f>IF(D11="","",IF(H718="","",D11))</f>
        <v/>
      </c>
      <c r="E718" s="7"/>
      <c r="F718" s="7"/>
      <c r="G718" s="7"/>
      <c r="H718" s="10" t="str">
        <f>IF(AND(E718="",F718="",G718=""),"",IF(SUM(E718:G718)&gt;100,"ERROR",IF(AND(E10="TEST",SUM(E718:G718)&lt;=100),SUM(E718:G718),IF(AND(E10="*TEST",F718="",E718&lt;=30,G718&lt;=70),SUM(E718:G718),IF(AND(E10="*TEST",F718&lt;=20,E718&lt;=20,G718&lt;=60),SUM(E718:G718),IF(AND(E10="*TEST",F718="-",E718&lt;=20,G718&lt;=60),SUM(E718:G718),"ERROR"))))))</f>
        <v/>
      </c>
      <c r="I718" s="7" t="str">
        <f>IF(H718="ERROR","ERROR",IF(H718="","",IF(AND(F10="*LAB",F718="-"),"F",IF(H718&gt;69.5,"A",IF(H718&gt;59.5,"B",IF(H718&gt;49.5,"C",IF(AND(D10="*PROGRAM",H718&lt;49.5),"F",IF(H718&gt;44.5,"D",IF(H718&gt;39.5,"E","F")))))))))</f>
        <v/>
      </c>
      <c r="J718" s="7" t="str">
        <f t="shared" si="36"/>
        <v/>
      </c>
      <c r="K718" s="1"/>
    </row>
    <row r="719" ht="15.75" customHeight="1" spans="1:11">
      <c r="A719" s="28">
        <v>483</v>
      </c>
      <c r="B719" s="43"/>
      <c r="C719" s="7"/>
      <c r="D719" s="7" t="str">
        <f>IF(D11="","",IF(H719="","",D11))</f>
        <v/>
      </c>
      <c r="E719" s="7"/>
      <c r="F719" s="7"/>
      <c r="G719" s="7"/>
      <c r="H719" s="10" t="str">
        <f>IF(AND(E719="",F719="",G719=""),"",IF(SUM(E719:G719)&gt;100,"ERROR",IF(AND(E10="TEST",SUM(E719:G719)&lt;=100),SUM(E719:G719),IF(AND(E10="*TEST",F719="",E719&lt;=30,G719&lt;=70),SUM(E719:G719),IF(AND(E10="*TEST",F719&lt;=20,E719&lt;=20,G719&lt;=60),SUM(E719:G719),IF(AND(E10="*TEST",F719="-",E719&lt;=20,G719&lt;=60),SUM(E719:G719),"ERROR"))))))</f>
        <v/>
      </c>
      <c r="I719" s="7" t="str">
        <f>IF(H719="ERROR","ERROR",IF(H719="","",IF(AND(F10="*LAB",F719="-"),"F",IF(H719&gt;69.5,"A",IF(H719&gt;59.5,"B",IF(H719&gt;49.5,"C",IF(AND(D10="*PROGRAM",H719&lt;49.5),"F",IF(H719&gt;44.5,"D",IF(H719&gt;39.5,"E","F")))))))))</f>
        <v/>
      </c>
      <c r="J719" s="7" t="str">
        <f t="shared" si="36"/>
        <v/>
      </c>
      <c r="K719" s="1"/>
    </row>
    <row r="720" ht="15.75" customHeight="1" spans="1:11">
      <c r="A720" s="7">
        <v>484</v>
      </c>
      <c r="B720" s="43"/>
      <c r="C720" s="7"/>
      <c r="D720" s="7" t="str">
        <f>IF(D11="","",IF(H720="","",D11))</f>
        <v/>
      </c>
      <c r="E720" s="7"/>
      <c r="F720" s="7"/>
      <c r="G720" s="7"/>
      <c r="H720" s="10" t="str">
        <f>IF(AND(E720="",F720="",G720=""),"",IF(SUM(E720:G720)&gt;100,"ERROR",IF(AND(E10="TEST",SUM(E720:G720)&lt;=100),SUM(E720:G720),IF(AND(E10="*TEST",F720="",E720&lt;=30,G720&lt;=70),SUM(E720:G720),IF(AND(E10="*TEST",F720&lt;=20,E720&lt;=20,G720&lt;=60),SUM(E720:G720),IF(AND(E10="*TEST",F720="-",E720&lt;=20,G720&lt;=60),SUM(E720:G720),"ERROR"))))))</f>
        <v/>
      </c>
      <c r="I720" s="7" t="str">
        <f>IF(H720="ERROR","ERROR",IF(H720="","",IF(AND(F10="*LAB",F720="-"),"F",IF(H720&gt;69.5,"A",IF(H720&gt;59.5,"B",IF(H720&gt;49.5,"C",IF(AND(D10="*PROGRAM",H720&lt;49.5),"F",IF(H720&gt;44.5,"D",IF(H720&gt;39.5,"E","F")))))))))</f>
        <v/>
      </c>
      <c r="J720" s="7" t="str">
        <f t="shared" si="36"/>
        <v/>
      </c>
      <c r="K720" s="1"/>
    </row>
    <row r="721" ht="15.75" customHeight="1" spans="1:11">
      <c r="A721" s="28">
        <v>485</v>
      </c>
      <c r="B721" s="43"/>
      <c r="C721" s="7"/>
      <c r="D721" s="7" t="str">
        <f>IF(D11="","",IF(H721="","",D11))</f>
        <v/>
      </c>
      <c r="E721" s="7"/>
      <c r="F721" s="7"/>
      <c r="G721" s="7"/>
      <c r="H721" s="10" t="str">
        <f>IF(AND(E721="",F721="",G721=""),"",IF(SUM(E721:G721)&gt;100,"ERROR",IF(AND(E10="TEST",SUM(E721:G721)&lt;=100),SUM(E721:G721),IF(AND(E10="*TEST",F721="",E721&lt;=30,G721&lt;=70),SUM(E721:G721),IF(AND(E10="*TEST",F721&lt;=20,E721&lt;=20,G721&lt;=60),SUM(E721:G721),IF(AND(E10="*TEST",F721="-",E721&lt;=20,G721&lt;=60),SUM(E721:G721),"ERROR"))))))</f>
        <v/>
      </c>
      <c r="I721" s="7" t="str">
        <f>IF(H721="ERROR","ERROR",IF(H721="","",IF(AND(F10="*LAB",F721="-"),"F",IF(H721&gt;69.5,"A",IF(H721&gt;59.5,"B",IF(H721&gt;49.5,"C",IF(AND(D10="*PROGRAM",H721&lt;49.5),"F",IF(H721&gt;44.5,"D",IF(H721&gt;39.5,"E","F")))))))))</f>
        <v/>
      </c>
      <c r="J721" s="7" t="str">
        <f t="shared" si="36"/>
        <v/>
      </c>
      <c r="K721" s="1"/>
    </row>
    <row r="722" ht="15.75" customHeight="1" spans="1:11">
      <c r="A722" s="7">
        <v>486</v>
      </c>
      <c r="B722" s="43"/>
      <c r="C722" s="7"/>
      <c r="D722" s="7" t="str">
        <f>IF(D11="","",IF(H722="","",D11))</f>
        <v/>
      </c>
      <c r="E722" s="7"/>
      <c r="F722" s="7"/>
      <c r="G722" s="7"/>
      <c r="H722" s="10" t="str">
        <f>IF(AND(E722="",F722="",G722=""),"",IF(SUM(E722:G722)&gt;100,"ERROR",IF(AND(E10="TEST",SUM(E722:G722)&lt;=100),SUM(E722:G722),IF(AND(E10="*TEST",F722="",E722&lt;=30,G722&lt;=70),SUM(E722:G722),IF(AND(E10="*TEST",F722&lt;=20,E722&lt;=20,G722&lt;=60),SUM(E722:G722),IF(AND(E10="*TEST",F722="-",E722&lt;=20,G722&lt;=60),SUM(E722:G722),"ERROR"))))))</f>
        <v/>
      </c>
      <c r="I722" s="7" t="str">
        <f>IF(H722="ERROR","ERROR",IF(H722="","",IF(AND(F10="*LAB",F722="-"),"F",IF(H722&gt;69.5,"A",IF(H722&gt;59.5,"B",IF(H722&gt;49.5,"C",IF(AND(D10="*PROGRAM",H722&lt;49.5),"F",IF(H722&gt;44.5,"D",IF(H722&gt;39.5,"E","F")))))))))</f>
        <v/>
      </c>
      <c r="J722" s="7" t="str">
        <f t="shared" si="36"/>
        <v/>
      </c>
      <c r="K722" s="1"/>
    </row>
    <row r="723" ht="15.75" customHeight="1" spans="1:11">
      <c r="A723" s="28">
        <v>487</v>
      </c>
      <c r="B723" s="43"/>
      <c r="C723" s="7"/>
      <c r="D723" s="7" t="str">
        <f>IF(D11="","",IF(H723="","",D11))</f>
        <v/>
      </c>
      <c r="E723" s="7"/>
      <c r="F723" s="7"/>
      <c r="G723" s="7"/>
      <c r="H723" s="10" t="str">
        <f>IF(AND(E723="",F723="",G723=""),"",IF(SUM(E723:G723)&gt;100,"ERROR",IF(AND(E10="TEST",SUM(E723:G723)&lt;=100),SUM(E723:G723),IF(AND(E10="*TEST",F723="",E723&lt;=30,G723&lt;=70),SUM(E723:G723),IF(AND(E10="*TEST",F723&lt;=20,E723&lt;=20,G723&lt;=60),SUM(E723:G723),IF(AND(E10="*TEST",F723="-",E723&lt;=20,G723&lt;=60),SUM(E723:G723),"ERROR"))))))</f>
        <v/>
      </c>
      <c r="I723" s="7" t="str">
        <f>IF(H723="ERROR","ERROR",IF(H723="","",IF(AND(F10="*LAB",F723="-"),"F",IF(H723&gt;69.5,"A",IF(H723&gt;59.5,"B",IF(H723&gt;49.5,"C",IF(AND(D10="*PROGRAM",H723&lt;49.5),"F",IF(H723&gt;44.5,"D",IF(H723&gt;39.5,"E","F")))))))))</f>
        <v/>
      </c>
      <c r="J723" s="7" t="str">
        <f t="shared" si="36"/>
        <v/>
      </c>
      <c r="K723" s="1"/>
    </row>
    <row r="724" ht="15.75" customHeight="1" spans="1:11">
      <c r="A724" s="7">
        <v>488</v>
      </c>
      <c r="B724" s="43"/>
      <c r="C724" s="7"/>
      <c r="D724" s="7" t="str">
        <f>IF(D11="","",IF(H724="","",D11))</f>
        <v/>
      </c>
      <c r="E724" s="7"/>
      <c r="F724" s="7"/>
      <c r="G724" s="7"/>
      <c r="H724" s="10" t="str">
        <f>IF(AND(E724="",F724="",G724=""),"",IF(SUM(E724:G724)&gt;100,"ERROR",IF(AND(E10="TEST",SUM(E724:G724)&lt;=100),SUM(E724:G724),IF(AND(E10="*TEST",F724="",E724&lt;=30,G724&lt;=70),SUM(E724:G724),IF(AND(E10="*TEST",F724&lt;=20,E724&lt;=20,G724&lt;=60),SUM(E724:G724),IF(AND(E10="*TEST",F724="-",E724&lt;=20,G724&lt;=60),SUM(E724:G724),"ERROR"))))))</f>
        <v/>
      </c>
      <c r="I724" s="7" t="str">
        <f>IF(H724="ERROR","ERROR",IF(H724="","",IF(AND(F10="*LAB",F724="-"),"F",IF(H724&gt;69.5,"A",IF(H724&gt;59.5,"B",IF(H724&gt;49.5,"C",IF(AND(D10="*PROGRAM",H724&lt;49.5),"F",IF(H724&gt;44.5,"D",IF(H724&gt;39.5,"E","F")))))))))</f>
        <v/>
      </c>
      <c r="J724" s="7" t="str">
        <f t="shared" si="36"/>
        <v/>
      </c>
      <c r="K724" s="1"/>
    </row>
    <row r="725" ht="15.75" customHeight="1" spans="1:11">
      <c r="A725" s="28">
        <v>489</v>
      </c>
      <c r="B725" s="43"/>
      <c r="C725" s="7"/>
      <c r="D725" s="7" t="str">
        <f>IF(D11="","",IF(H725="","",D11))</f>
        <v/>
      </c>
      <c r="E725" s="7"/>
      <c r="F725" s="7"/>
      <c r="G725" s="7"/>
      <c r="H725" s="10" t="str">
        <f>IF(AND(E725="",F725="",G725=""),"",IF(SUM(E725:G725)&gt;100,"ERROR",IF(AND(E10="TEST",SUM(E725:G725)&lt;=100),SUM(E725:G725),IF(AND(E10="*TEST",F725="",E725&lt;=30,G725&lt;=70),SUM(E725:G725),IF(AND(E10="*TEST",F725&lt;=20,E725&lt;=20,G725&lt;=60),SUM(E725:G725),IF(AND(E10="*TEST",F725="-",E725&lt;=20,G725&lt;=60),SUM(E725:G725),"ERROR"))))))</f>
        <v/>
      </c>
      <c r="I725" s="7" t="str">
        <f>IF(H725="ERROR","ERROR",IF(H725="","",IF(AND(F10="*LAB",F725="-"),"F",IF(H725&gt;69.5,"A",IF(H725&gt;59.5,"B",IF(H725&gt;49.5,"C",IF(AND(D10="*PROGRAM",H725&lt;49.5),"F",IF(H725&gt;44.5,"D",IF(H725&gt;39.5,"E","F")))))))))</f>
        <v/>
      </c>
      <c r="J725" s="7" t="str">
        <f t="shared" si="36"/>
        <v/>
      </c>
      <c r="K725" s="1"/>
    </row>
    <row r="726" ht="15.75" customHeight="1" spans="1:11">
      <c r="A726" s="7">
        <v>490</v>
      </c>
      <c r="B726" s="43"/>
      <c r="C726" s="7"/>
      <c r="D726" s="7" t="str">
        <f>IF(D11="","",IF(H726="","",D11))</f>
        <v/>
      </c>
      <c r="E726" s="7"/>
      <c r="F726" s="7"/>
      <c r="G726" s="7"/>
      <c r="H726" s="10" t="str">
        <f>IF(AND(E726="",F726="",G726=""),"",IF(SUM(E726:G726)&gt;100,"ERROR",IF(AND(E10="TEST",SUM(E726:G726)&lt;=100),SUM(E726:G726),IF(AND(E10="*TEST",F726="",E726&lt;=30,G726&lt;=70),SUM(E726:G726),IF(AND(E10="*TEST",F726&lt;=20,E726&lt;=20,G726&lt;=60),SUM(E726:G726),IF(AND(E10="*TEST",F726="-",E726&lt;=20,G726&lt;=60),SUM(E726:G726),"ERROR"))))))</f>
        <v/>
      </c>
      <c r="I726" s="7" t="str">
        <f>IF(H726="ERROR","ERROR",IF(H726="","",IF(AND(F10="*LAB",F726="-"),"F",IF(H726&gt;69.5,"A",IF(H726&gt;59.5,"B",IF(H726&gt;49.5,"C",IF(AND(D10="*PROGRAM",H726&lt;49.5),"F",IF(H726&gt;44.5,"D",IF(H726&gt;39.5,"E","F")))))))))</f>
        <v/>
      </c>
      <c r="J726" s="7" t="str">
        <f t="shared" si="36"/>
        <v/>
      </c>
      <c r="K726" s="1"/>
    </row>
    <row r="727" ht="15.75" customHeight="1" spans="1:11">
      <c r="A727" s="28">
        <v>491</v>
      </c>
      <c r="B727" s="43"/>
      <c r="C727" s="7"/>
      <c r="D727" s="7" t="str">
        <f>IF(D11="","",IF(H727="","",D11))</f>
        <v/>
      </c>
      <c r="E727" s="7"/>
      <c r="F727" s="7"/>
      <c r="G727" s="7"/>
      <c r="H727" s="10" t="str">
        <f>IF(AND(E727="",F727="",G727=""),"",IF(SUM(E727:G727)&gt;100,"ERROR",IF(AND(E10="TEST",SUM(E727:G727)&lt;=100),SUM(E727:G727),IF(AND(E10="*TEST",F727="",E727&lt;=30,G727&lt;=70),SUM(E727:G727),IF(AND(E10="*TEST",F727&lt;=20,E727&lt;=20,G727&lt;=60),SUM(E727:G727),IF(AND(E10="*TEST",F727="-",E727&lt;=20,G727&lt;=60),SUM(E727:G727),"ERROR"))))))</f>
        <v/>
      </c>
      <c r="I727" s="7" t="str">
        <f>IF(H727="ERROR","ERROR",IF(H727="","",IF(AND(F10="*LAB",F727="-"),"F",IF(H727&gt;69.5,"A",IF(H727&gt;59.5,"B",IF(H727&gt;49.5,"C",IF(AND(D10="*PROGRAM",H727&lt;49.5),"F",IF(H727&gt;44.5,"D",IF(H727&gt;39.5,"E","F")))))))))</f>
        <v/>
      </c>
      <c r="J727" s="7" t="str">
        <f t="shared" si="36"/>
        <v/>
      </c>
      <c r="K727" s="1"/>
    </row>
    <row r="728" ht="15.75" customHeight="1" spans="1:11">
      <c r="A728" s="7">
        <v>492</v>
      </c>
      <c r="B728" s="43"/>
      <c r="C728" s="7"/>
      <c r="D728" s="7" t="str">
        <f>IF(D11="","",IF(H728="","",D11))</f>
        <v/>
      </c>
      <c r="E728" s="7"/>
      <c r="F728" s="7"/>
      <c r="G728" s="7"/>
      <c r="H728" s="10" t="str">
        <f>IF(AND(E728="",F728="",G728=""),"",IF(SUM(E728:G728)&gt;100,"ERROR",IF(AND(E10="TEST",SUM(E728:G728)&lt;=100),SUM(E728:G728),IF(AND(E10="*TEST",F728="",E728&lt;=30,G728&lt;=70),SUM(E728:G728),IF(AND(E10="*TEST",F728&lt;=20,E728&lt;=20,G728&lt;=60),SUM(E728:G728),IF(AND(E10="*TEST",F728="-",E728&lt;=20,G728&lt;=60),SUM(E728:G728),"ERROR"))))))</f>
        <v/>
      </c>
      <c r="I728" s="7" t="str">
        <f>IF(H728="ERROR","ERROR",IF(H728="","",IF(AND(F10="*LAB",F728="-"),"F",IF(H728&gt;69.5,"A",IF(H728&gt;59.5,"B",IF(H728&gt;49.5,"C",IF(AND(D10="*PROGRAM",H728&lt;49.5),"F",IF(H728&gt;44.5,"D",IF(H728&gt;39.5,"E","F")))))))))</f>
        <v/>
      </c>
      <c r="J728" s="7" t="str">
        <f t="shared" si="36"/>
        <v/>
      </c>
      <c r="K728" s="1"/>
    </row>
    <row r="729" ht="15.75" customHeight="1" spans="1:11">
      <c r="A729" s="28">
        <v>493</v>
      </c>
      <c r="B729" s="43"/>
      <c r="C729" s="7"/>
      <c r="D729" s="7" t="str">
        <f>IF(D11="","",IF(H729="","",D11))</f>
        <v/>
      </c>
      <c r="E729" s="7"/>
      <c r="F729" s="7"/>
      <c r="G729" s="7"/>
      <c r="H729" s="10" t="str">
        <f>IF(AND(E729="",F729="",G729=""),"",IF(SUM(E729:G729)&gt;100,"ERROR",IF(AND(E10="TEST",SUM(E729:G729)&lt;=100),SUM(E729:G729),IF(AND(E10="*TEST",F729="",E729&lt;=30,G729&lt;=70),SUM(E729:G729),IF(AND(E10="*TEST",F729&lt;=20,E729&lt;=20,G729&lt;=60),SUM(E729:G729),IF(AND(E10="*TEST",F729="-",E729&lt;=20,G729&lt;=60),SUM(E729:G729),"ERROR"))))))</f>
        <v/>
      </c>
      <c r="I729" s="7" t="str">
        <f>IF(H729="ERROR","ERROR",IF(H729="","",IF(AND(F10="*LAB",F729="-"),"F",IF(H729&gt;69.5,"A",IF(H729&gt;59.5,"B",IF(H729&gt;49.5,"C",IF(AND(D10="*PROGRAM",H729&lt;49.5),"F",IF(H729&gt;44.5,"D",IF(H729&gt;39.5,"E","F")))))))))</f>
        <v/>
      </c>
      <c r="J729" s="7" t="str">
        <f t="shared" si="36"/>
        <v/>
      </c>
      <c r="K729" s="1"/>
    </row>
    <row r="730" ht="15.75" customHeight="1" spans="1:11">
      <c r="A730" s="7">
        <v>494</v>
      </c>
      <c r="B730" s="43"/>
      <c r="C730" s="7"/>
      <c r="D730" s="7" t="str">
        <f>IF(D11="","",IF(H730="","",D11))</f>
        <v/>
      </c>
      <c r="E730" s="7"/>
      <c r="F730" s="7"/>
      <c r="G730" s="7"/>
      <c r="H730" s="10" t="str">
        <f>IF(AND(E730="",F730="",G730=""),"",IF(SUM(E730:G730)&gt;100,"ERROR",IF(AND(E10="TEST",SUM(E730:G730)&lt;=100),SUM(E730:G730),IF(AND(E10="*TEST",F730="",E730&lt;=30,G730&lt;=70),SUM(E730:G730),IF(AND(E10="*TEST",F730&lt;=20,E730&lt;=20,G730&lt;=60),SUM(E730:G730),IF(AND(E10="*TEST",F730="-",E730&lt;=20,G730&lt;=60),SUM(E730:G730),"ERROR"))))))</f>
        <v/>
      </c>
      <c r="I730" s="7" t="str">
        <f>IF(H730="ERROR","ERROR",IF(H730="","",IF(AND(F10="*LAB",F730="-"),"F",IF(H730&gt;69.5,"A",IF(H730&gt;59.5,"B",IF(H730&gt;49.5,"C",IF(AND(D10="*PROGRAM",H730&lt;49.5),"F",IF(H730&gt;44.5,"D",IF(H730&gt;39.5,"E","F")))))))))</f>
        <v/>
      </c>
      <c r="J730" s="7" t="str">
        <f t="shared" si="36"/>
        <v/>
      </c>
      <c r="K730" s="1"/>
    </row>
    <row r="731" ht="15.75" customHeight="1" spans="1:11">
      <c r="A731" s="28">
        <v>495</v>
      </c>
      <c r="B731" s="43"/>
      <c r="C731" s="7"/>
      <c r="D731" s="7" t="str">
        <f>IF(D11="","",IF(H731="","",D11))</f>
        <v/>
      </c>
      <c r="E731" s="7"/>
      <c r="F731" s="7"/>
      <c r="G731" s="7"/>
      <c r="H731" s="10" t="str">
        <f>IF(AND(E731="",F731="",G731=""),"",IF(SUM(E731:G731)&gt;100,"ERROR",IF(AND(E10="TEST",SUM(E731:G731)&lt;=100),SUM(E731:G731),IF(AND(E10="*TEST",F731="",E731&lt;=30,G731&lt;=70),SUM(E731:G731),IF(AND(E10="*TEST",F731&lt;=20,E731&lt;=20,G731&lt;=60),SUM(E731:G731),IF(AND(E10="*TEST",F731="-",E731&lt;=20,G731&lt;=60),SUM(E731:G731),"ERROR"))))))</f>
        <v/>
      </c>
      <c r="I731" s="7" t="str">
        <f>IF(H731="ERROR","ERROR",IF(H731="","",IF(AND(F10="*LAB",F731="-"),"F",IF(H731&gt;69.5,"A",IF(H731&gt;59.5,"B",IF(H731&gt;49.5,"C",IF(AND(D10="*PROGRAM",H731&lt;49.5),"F",IF(H731&gt;44.5,"D",IF(H731&gt;39.5,"E","F")))))))))</f>
        <v/>
      </c>
      <c r="J731" s="7" t="str">
        <f t="shared" si="36"/>
        <v/>
      </c>
      <c r="K731" s="1"/>
    </row>
    <row r="732" ht="15.75" customHeight="1" spans="1:11">
      <c r="A732" s="7">
        <v>496</v>
      </c>
      <c r="B732" s="43"/>
      <c r="C732" s="7"/>
      <c r="D732" s="7" t="str">
        <f>IF(D11="","",IF(H732="","",D11))</f>
        <v/>
      </c>
      <c r="E732" s="7"/>
      <c r="F732" s="7"/>
      <c r="G732" s="7"/>
      <c r="H732" s="10" t="str">
        <f>IF(AND(E732="",F732="",G732=""),"",IF(SUM(E732:G732)&gt;100,"ERROR",IF(AND(E10="TEST",SUM(E732:G732)&lt;=100),SUM(E732:G732),IF(AND(E10="*TEST",F732="",E732&lt;=30,G732&lt;=70),SUM(E732:G732),IF(AND(E10="*TEST",F732&lt;=20,E732&lt;=20,G732&lt;=60),SUM(E732:G732),IF(AND(E10="*TEST",F732="-",E732&lt;=20,G732&lt;=60),SUM(E732:G732),"ERROR"))))))</f>
        <v/>
      </c>
      <c r="I732" s="7" t="str">
        <f>IF(H732="ERROR","ERROR",IF(H732="","",IF(AND(F10="*LAB",F732="-"),"F",IF(H732&gt;69.5,"A",IF(H732&gt;59.5,"B",IF(H732&gt;49.5,"C",IF(AND(D10="*PROGRAM",H732&lt;49.5),"F",IF(H732&gt;44.5,"D",IF(H732&gt;39.5,"E","F")))))))))</f>
        <v/>
      </c>
      <c r="J732" s="7" t="str">
        <f t="shared" si="36"/>
        <v/>
      </c>
      <c r="K732" s="1"/>
    </row>
    <row r="733" ht="15.75" customHeight="1" spans="1:11">
      <c r="A733" s="28">
        <v>497</v>
      </c>
      <c r="B733" s="43"/>
      <c r="C733" s="7"/>
      <c r="D733" s="7" t="str">
        <f>IF(D11="","",IF(H733="","",D11))</f>
        <v/>
      </c>
      <c r="E733" s="7"/>
      <c r="F733" s="7"/>
      <c r="G733" s="7"/>
      <c r="H733" s="10" t="str">
        <f>IF(AND(E733="",F733="",G733=""),"",IF(SUM(E733:G733)&gt;100,"ERROR",IF(AND(E10="TEST",SUM(E733:G733)&lt;=100),SUM(E733:G733),IF(AND(E10="*TEST",F733="",E733&lt;=30,G733&lt;=70),SUM(E733:G733),IF(AND(E10="*TEST",F733&lt;=20,E733&lt;=20,G733&lt;=60),SUM(E733:G733),IF(AND(E10="*TEST",F733="-",E733&lt;=20,G733&lt;=60),SUM(E733:G733),"ERROR"))))))</f>
        <v/>
      </c>
      <c r="I733" s="7" t="str">
        <f>IF(H733="ERROR","ERROR",IF(H733="","",IF(AND(F10="*LAB",F733="-"),"F",IF(H733&gt;69.5,"A",IF(H733&gt;59.5,"B",IF(H733&gt;49.5,"C",IF(AND(D10="*PROGRAM",H733&lt;49.5),"F",IF(H733&gt;44.5,"D",IF(H733&gt;39.5,"E","F")))))))))</f>
        <v/>
      </c>
      <c r="J733" s="7" t="str">
        <f t="shared" si="36"/>
        <v/>
      </c>
      <c r="K733" s="1"/>
    </row>
    <row r="734" ht="15.75" customHeight="1" spans="1:11">
      <c r="A734" s="7">
        <v>498</v>
      </c>
      <c r="B734" s="43"/>
      <c r="C734" s="7"/>
      <c r="D734" s="7" t="str">
        <f>IF(D11="","",IF(H734="","",D11))</f>
        <v/>
      </c>
      <c r="E734" s="7"/>
      <c r="F734" s="7"/>
      <c r="G734" s="7"/>
      <c r="H734" s="10" t="str">
        <f>IF(AND(E734="",F734="",G734=""),"",IF(SUM(E734:G734)&gt;100,"ERROR",IF(AND(E10="TEST",SUM(E734:G734)&lt;=100),SUM(E734:G734),IF(AND(E10="*TEST",F734="",E734&lt;=30,G734&lt;=70),SUM(E734:G734),IF(AND(E10="*TEST",F734&lt;=20,E734&lt;=20,G734&lt;=60),SUM(E734:G734),IF(AND(E10="*TEST",F734="-",E734&lt;=20,G734&lt;=60),SUM(E734:G734),"ERROR"))))))</f>
        <v/>
      </c>
      <c r="I734" s="7" t="str">
        <f>IF(H734="ERROR","ERROR",IF(H734="","",IF(AND(F10="*LAB",F734="-"),"F",IF(H734&gt;69.5,"A",IF(H734&gt;59.5,"B",IF(H734&gt;49.5,"C",IF(AND(D10="*PROGRAM",H734&lt;49.5),"F",IF(H734&gt;44.5,"D",IF(H734&gt;39.5,"E","F")))))))))</f>
        <v/>
      </c>
      <c r="J734" s="7" t="str">
        <f t="shared" si="36"/>
        <v/>
      </c>
      <c r="K734" s="1"/>
    </row>
    <row r="735" ht="15.75" customHeight="1" spans="1:11">
      <c r="A735" s="28">
        <v>499</v>
      </c>
      <c r="B735" s="43"/>
      <c r="C735" s="7"/>
      <c r="D735" s="7" t="str">
        <f>IF(D11="","",IF(H735="","",D11))</f>
        <v/>
      </c>
      <c r="E735" s="7"/>
      <c r="F735" s="7"/>
      <c r="G735" s="7"/>
      <c r="H735" s="10" t="str">
        <f>IF(AND(E735="",F735="",G735=""),"",IF(SUM(E735:G735)&gt;100,"ERROR",IF(AND(E10="TEST",SUM(E735:G735)&lt;=100),SUM(E735:G735),IF(AND(E10="*TEST",F735="",E735&lt;=30,G735&lt;=70),SUM(E735:G735),IF(AND(E10="*TEST",F735&lt;=20,E735&lt;=20,G735&lt;=60),SUM(E735:G735),IF(AND(E10="*TEST",F735="-",E735&lt;=20,G735&lt;=60),SUM(E735:G735),"ERROR"))))))</f>
        <v/>
      </c>
      <c r="I735" s="7" t="str">
        <f>IF(H735="ERROR","ERROR",IF(H735="","",IF(AND(F10="*LAB",F735="-"),"F",IF(H735&gt;69.5,"A",IF(H735&gt;59.5,"B",IF(H735&gt;49.5,"C",IF(AND(D10="*PROGRAM",H735&lt;49.5),"F",IF(H735&gt;44.5,"D",IF(H735&gt;39.5,"E","F")))))))))</f>
        <v/>
      </c>
      <c r="J735" s="7" t="str">
        <f t="shared" si="36"/>
        <v/>
      </c>
      <c r="K735" s="1"/>
    </row>
    <row r="736" ht="15.75" customHeight="1" spans="1:11">
      <c r="A736" s="7">
        <v>500</v>
      </c>
      <c r="B736" s="43"/>
      <c r="C736" s="7"/>
      <c r="D736" s="7" t="str">
        <f>IF(D11="","",IF(H736="","",D11))</f>
        <v/>
      </c>
      <c r="E736" s="7"/>
      <c r="F736" s="7"/>
      <c r="G736" s="7"/>
      <c r="H736" s="10" t="str">
        <f>IF(AND(E736="",F736="",G736=""),"",IF(SUM(E736:G736)&gt;100,"ERROR",IF(AND(E10="TEST",SUM(E736:G736)&lt;=100),SUM(E736:G736),IF(AND(E10="*TEST",F736="",E736&lt;=30,G736&lt;=70),SUM(E736:G736),IF(AND(E10="*TEST",F736&lt;=20,E736&lt;=20,G736&lt;=60),SUM(E736:G736),IF(AND(E10="*TEST",F736="-",E736&lt;=20,G736&lt;=60),SUM(E736:G736),"ERROR"))))))</f>
        <v/>
      </c>
      <c r="I736" s="7" t="str">
        <f>IF(H736="ERROR","ERROR",IF(H736="","",IF(AND(F10="*LAB",F736="-"),"F",IF(H736&gt;69.5,"A",IF(H736&gt;59.5,"B",IF(H736&gt;49.5,"C",IF(AND(D10="*PROGRAM",H736&lt;49.5),"F",IF(H736&gt;44.5,"D",IF(H736&gt;39.5,"E","F")))))))))</f>
        <v/>
      </c>
      <c r="J736" s="7" t="str">
        <f t="shared" si="36"/>
        <v/>
      </c>
      <c r="K736" s="1"/>
    </row>
    <row r="737" ht="15.75" customHeight="1" spans="1:11">
      <c r="A737" s="28">
        <v>501</v>
      </c>
      <c r="B737" s="43"/>
      <c r="C737" s="7"/>
      <c r="D737" s="7" t="str">
        <f>IF(D11="","",IF(H737="","",D11))</f>
        <v/>
      </c>
      <c r="E737" s="7"/>
      <c r="F737" s="7"/>
      <c r="G737" s="7"/>
      <c r="H737" s="10" t="str">
        <f>IF(AND(E737="",F737="",G737=""),"",IF(SUM(E737:G737)&gt;100,"ERROR",IF(AND(E10="TEST",SUM(E737:G737)&lt;=100),SUM(E737:G737),IF(AND(E10="*TEST",F737="",E737&lt;=30,G737&lt;=70),SUM(E737:G737),IF(AND(E10="*TEST",F737&lt;=20,E737&lt;=20,G737&lt;=60),SUM(E737:G737),IF(AND(E10="*TEST",F737="-",E737&lt;=20,G737&lt;=60),SUM(E737:G737),"ERROR"))))))</f>
        <v/>
      </c>
      <c r="I737" s="7" t="str">
        <f>IF(H737="ERROR","ERROR",IF(H737="","",IF(AND(F10="*LAB",F737="-"),"F",IF(H737&gt;69.5,"A",IF(H737&gt;59.5,"B",IF(H737&gt;49.5,"C",IF(AND(D10="*PROGRAM",H737&lt;49.5),"F",IF(H737&gt;44.5,"D",IF(H737&gt;39.5,"E","F")))))))))</f>
        <v/>
      </c>
      <c r="J737" s="7" t="str">
        <f t="shared" si="36"/>
        <v/>
      </c>
      <c r="K737" s="1"/>
    </row>
    <row r="738" ht="15.75" customHeight="1" spans="1:11">
      <c r="A738" s="7">
        <v>502</v>
      </c>
      <c r="B738" s="43"/>
      <c r="C738" s="7"/>
      <c r="D738" s="7" t="str">
        <f>IF(D11="","",IF(H738="","",D11))</f>
        <v/>
      </c>
      <c r="E738" s="7"/>
      <c r="F738" s="7"/>
      <c r="G738" s="7"/>
      <c r="H738" s="10" t="str">
        <f>IF(AND(E738="",F738="",G738=""),"",IF(SUM(E738:G738)&gt;100,"ERROR",IF(AND(E10="TEST",SUM(E738:G738)&lt;=100),SUM(E738:G738),IF(AND(E10="*TEST",F738="",E738&lt;=30,G738&lt;=70),SUM(E738:G738),IF(AND(E10="*TEST",F738&lt;=20,E738&lt;=20,G738&lt;=60),SUM(E738:G738),IF(AND(E10="*TEST",F738="-",E738&lt;=20,G738&lt;=60),SUM(E738:G738),"ERROR"))))))</f>
        <v/>
      </c>
      <c r="I738" s="7" t="str">
        <f>IF(H738="ERROR","ERROR",IF(H738="","",IF(AND(F10="*LAB",F738="-"),"F",IF(H738&gt;69.5,"A",IF(H738&gt;59.5,"B",IF(H738&gt;49.5,"C",IF(AND(D10="*PROGRAM",H738&lt;49.5),"F",IF(H738&gt;44.5,"D",IF(H738&gt;39.5,"E","F")))))))))</f>
        <v/>
      </c>
      <c r="J738" s="7" t="str">
        <f t="shared" si="36"/>
        <v/>
      </c>
      <c r="K738" s="1"/>
    </row>
    <row r="739" ht="15.75" customHeight="1" spans="1:11">
      <c r="A739" s="28">
        <v>503</v>
      </c>
      <c r="B739" s="43"/>
      <c r="C739" s="7"/>
      <c r="D739" s="7" t="str">
        <f>IF(D11="","",IF(H739="","",D11))</f>
        <v/>
      </c>
      <c r="E739" s="7"/>
      <c r="F739" s="7"/>
      <c r="G739" s="7"/>
      <c r="H739" s="10" t="str">
        <f>IF(AND(E739="",F739="",G739=""),"",IF(SUM(E739:G739)&gt;100,"ERROR",IF(AND(E10="TEST",SUM(E739:G739)&lt;=100),SUM(E739:G739),IF(AND(E10="*TEST",F739="",E739&lt;=30,G739&lt;=70),SUM(E739:G739),IF(AND(E10="*TEST",F739&lt;=20,E739&lt;=20,G739&lt;=60),SUM(E739:G739),IF(AND(E10="*TEST",F739="-",E739&lt;=20,G739&lt;=60),SUM(E739:G739),"ERROR"))))))</f>
        <v/>
      </c>
      <c r="I739" s="7" t="str">
        <f>IF(H739="ERROR","ERROR",IF(H739="","",IF(AND(F10="*LAB",F739="-"),"F",IF(H739&gt;69.5,"A",IF(H739&gt;59.5,"B",IF(H739&gt;49.5,"C",IF(AND(D10="*PROGRAM",H739&lt;49.5),"F",IF(H739&gt;44.5,"D",IF(H739&gt;39.5,"E","F")))))))))</f>
        <v/>
      </c>
      <c r="J739" s="7" t="str">
        <f t="shared" si="36"/>
        <v/>
      </c>
      <c r="K739" s="1"/>
    </row>
    <row r="740" ht="15.75" customHeight="1" spans="1:11">
      <c r="A740" s="7">
        <v>504</v>
      </c>
      <c r="B740" s="43"/>
      <c r="C740" s="7"/>
      <c r="D740" s="7" t="str">
        <f>IF(D11="","",IF(H740="","",D11))</f>
        <v/>
      </c>
      <c r="E740" s="7"/>
      <c r="F740" s="7"/>
      <c r="G740" s="7"/>
      <c r="H740" s="10" t="str">
        <f>IF(AND(E740="",F740="",G740=""),"",IF(SUM(E740:G740)&gt;100,"ERROR",IF(AND(E10="TEST",SUM(E740:G740)&lt;=100),SUM(E740:G740),IF(AND(E10="*TEST",F740="",E740&lt;=30,G740&lt;=70),SUM(E740:G740),IF(AND(E10="*TEST",F740&lt;=20,E740&lt;=20,G740&lt;=60),SUM(E740:G740),IF(AND(E10="*TEST",F740="-",E740&lt;=20,G740&lt;=60),SUM(E740:G740),"ERROR"))))))</f>
        <v/>
      </c>
      <c r="I740" s="7" t="str">
        <f>IF(H740="ERROR","ERROR",IF(H740="","",IF(AND(F10="*LAB",F740="-"),"F",IF(H740&gt;69.5,"A",IF(H740&gt;59.5,"B",IF(H740&gt;49.5,"C",IF(AND(D10="*PROGRAM",H740&lt;49.5),"F",IF(H740&gt;44.5,"D",IF(H740&gt;39.5,"E","F")))))))))</f>
        <v/>
      </c>
      <c r="J740" s="7" t="str">
        <f t="shared" si="36"/>
        <v/>
      </c>
      <c r="K740" s="1"/>
    </row>
    <row r="741" ht="15.75" customHeight="1" spans="1:11">
      <c r="A741" s="28">
        <v>505</v>
      </c>
      <c r="B741" s="43"/>
      <c r="C741" s="7"/>
      <c r="D741" s="7" t="str">
        <f>IF(D11="","",IF(H741="","",D11))</f>
        <v/>
      </c>
      <c r="E741" s="7"/>
      <c r="F741" s="7"/>
      <c r="G741" s="7"/>
      <c r="H741" s="10" t="str">
        <f>IF(AND(E741="",F741="",G741=""),"",IF(SUM(E741:G741)&gt;100,"ERROR",IF(AND(E10="TEST",SUM(E741:G741)&lt;=100),SUM(E741:G741),IF(AND(E10="*TEST",F741="",E741&lt;=30,G741&lt;=70),SUM(E741:G741),IF(AND(E10="*TEST",F741&lt;=20,E741&lt;=20,G741&lt;=60),SUM(E741:G741),IF(AND(E10="*TEST",F741="-",E741&lt;=20,G741&lt;=60),SUM(E741:G741),"ERROR"))))))</f>
        <v/>
      </c>
      <c r="I741" s="7" t="str">
        <f>IF(H741="ERROR","ERROR",IF(H741="","",IF(AND(F10="*LAB",F741="-"),"F",IF(H741&gt;69.5,"A",IF(H741&gt;59.5,"B",IF(H741&gt;49.5,"C",IF(AND(D10="*PROGRAM",H741&lt;49.5),"F",IF(H741&gt;44.5,"D",IF(H741&gt;39.5,"E","F")))))))))</f>
        <v/>
      </c>
      <c r="J741" s="7" t="str">
        <f t="shared" si="36"/>
        <v/>
      </c>
      <c r="K741" s="1"/>
    </row>
    <row r="742" ht="15.75" customHeight="1" spans="1:11">
      <c r="A742" s="7">
        <v>506</v>
      </c>
      <c r="B742" s="43"/>
      <c r="C742" s="7"/>
      <c r="D742" s="7" t="str">
        <f>IF(D11="","",IF(H742="","",D11))</f>
        <v/>
      </c>
      <c r="E742" s="7"/>
      <c r="F742" s="7"/>
      <c r="G742" s="7"/>
      <c r="H742" s="10" t="str">
        <f>IF(AND(E742="",F742="",G742=""),"",IF(SUM(E742:G742)&gt;100,"ERROR",IF(AND(E10="TEST",SUM(E742:G742)&lt;=100),SUM(E742:G742),IF(AND(E10="*TEST",F742="",E742&lt;=30,G742&lt;=70),SUM(E742:G742),IF(AND(E10="*TEST",F742&lt;=20,E742&lt;=20,G742&lt;=60),SUM(E742:G742),IF(AND(E10="*TEST",F742="-",E742&lt;=20,G742&lt;=60),SUM(E742:G742),"ERROR"))))))</f>
        <v/>
      </c>
      <c r="I742" s="7" t="str">
        <f>IF(H742="ERROR","ERROR",IF(H742="","",IF(AND(F10="*LAB",F742="-"),"F",IF(H742&gt;69.5,"A",IF(H742&gt;59.5,"B",IF(H742&gt;49.5,"C",IF(AND(D10="*PROGRAM",H742&lt;49.5),"F",IF(H742&gt;44.5,"D",IF(H742&gt;39.5,"E","F")))))))))</f>
        <v/>
      </c>
      <c r="J742" s="7" t="str">
        <f t="shared" si="36"/>
        <v/>
      </c>
      <c r="K742" s="1"/>
    </row>
    <row r="743" ht="15.75" customHeight="1" spans="1:11">
      <c r="A743" s="28">
        <v>507</v>
      </c>
      <c r="B743" s="43"/>
      <c r="C743" s="7"/>
      <c r="D743" s="7" t="str">
        <f>IF(D11="","",IF(H743="","",D11))</f>
        <v/>
      </c>
      <c r="E743" s="7"/>
      <c r="F743" s="7"/>
      <c r="G743" s="7"/>
      <c r="H743" s="10" t="str">
        <f>IF(AND(E743="",F743="",G743=""),"",IF(SUM(E743:G743)&gt;100,"ERROR",IF(AND(E10="TEST",SUM(E743:G743)&lt;=100),SUM(E743:G743),IF(AND(E10="*TEST",F743="",E743&lt;=30,G743&lt;=70),SUM(E743:G743),IF(AND(E10="*TEST",F743&lt;=20,E743&lt;=20,G743&lt;=60),SUM(E743:G743),IF(AND(E10="*TEST",F743="-",E743&lt;=20,G743&lt;=60),SUM(E743:G743),"ERROR"))))))</f>
        <v/>
      </c>
      <c r="I743" s="7" t="str">
        <f>IF(H743="ERROR","ERROR",IF(H743="","",IF(AND(F10="*LAB",F743="-"),"F",IF(H743&gt;69.5,"A",IF(H743&gt;59.5,"B",IF(H743&gt;49.5,"C",IF(AND(D10="*PROGRAM",H743&lt;49.5),"F",IF(H743&gt;44.5,"D",IF(H743&gt;39.5,"E","F")))))))))</f>
        <v/>
      </c>
      <c r="J743" s="7" t="str">
        <f t="shared" si="36"/>
        <v/>
      </c>
      <c r="K743" s="1"/>
    </row>
    <row r="744" ht="15.75" customHeight="1" spans="1:11">
      <c r="A744" s="7">
        <v>508</v>
      </c>
      <c r="B744" s="43"/>
      <c r="C744" s="7"/>
      <c r="D744" s="7" t="str">
        <f>IF(D11="","",IF(H744="","",D11))</f>
        <v/>
      </c>
      <c r="E744" s="7"/>
      <c r="F744" s="7"/>
      <c r="G744" s="7"/>
      <c r="H744" s="10" t="str">
        <f>IF(AND(E744="",F744="",G744=""),"",IF(SUM(E744:G744)&gt;100,"ERROR",IF(AND(E10="TEST",SUM(E744:G744)&lt;=100),SUM(E744:G744),IF(AND(E10="*TEST",F744="",E744&lt;=30,G744&lt;=70),SUM(E744:G744),IF(AND(E10="*TEST",F744&lt;=20,E744&lt;=20,G744&lt;=60),SUM(E744:G744),IF(AND(E10="*TEST",F744="-",E744&lt;=20,G744&lt;=60),SUM(E744:G744),"ERROR"))))))</f>
        <v/>
      </c>
      <c r="I744" s="7" t="str">
        <f>IF(H744="ERROR","ERROR",IF(H744="","",IF(AND(F10="*LAB",F744="-"),"F",IF(H744&gt;69.5,"A",IF(H744&gt;59.5,"B",IF(H744&gt;49.5,"C",IF(AND(D10="*PROGRAM",H744&lt;49.5),"F",IF(H744&gt;44.5,"D",IF(H744&gt;39.5,"E","F")))))))))</f>
        <v/>
      </c>
      <c r="J744" s="7" t="str">
        <f t="shared" si="36"/>
        <v/>
      </c>
      <c r="K744" s="1"/>
    </row>
    <row r="745" ht="15.75" customHeight="1" spans="1:11">
      <c r="A745" s="28">
        <v>509</v>
      </c>
      <c r="B745" s="43"/>
      <c r="C745" s="7"/>
      <c r="D745" s="7" t="str">
        <f>IF(D11="","",IF(H745="","",D11))</f>
        <v/>
      </c>
      <c r="E745" s="7"/>
      <c r="F745" s="7"/>
      <c r="G745" s="7"/>
      <c r="H745" s="10" t="str">
        <f>IF(AND(E745="",F745="",G745=""),"",IF(SUM(E745:G745)&gt;100,"ERROR",IF(AND(E10="TEST",SUM(E745:G745)&lt;=100),SUM(E745:G745),IF(AND(E10="*TEST",F745="",E745&lt;=30,G745&lt;=70),SUM(E745:G745),IF(AND(E10="*TEST",F745&lt;=20,E745&lt;=20,G745&lt;=60),SUM(E745:G745),IF(AND(E10="*TEST",F745="-",E745&lt;=20,G745&lt;=60),SUM(E745:G745),"ERROR"))))))</f>
        <v/>
      </c>
      <c r="I745" s="7" t="str">
        <f>IF(H745="ERROR","ERROR",IF(H745="","",IF(AND(F10="*LAB",F745="-"),"F",IF(H745&gt;69.5,"A",IF(H745&gt;59.5,"B",IF(H745&gt;49.5,"C",IF(AND(D10="*PROGRAM",H745&lt;49.5),"F",IF(H745&gt;44.5,"D",IF(H745&gt;39.5,"E","F")))))))))</f>
        <v/>
      </c>
      <c r="J745" s="7" t="str">
        <f t="shared" si="36"/>
        <v/>
      </c>
      <c r="K745" s="1"/>
    </row>
    <row r="746" ht="15.75" customHeight="1" spans="1:11">
      <c r="A746" s="7">
        <v>510</v>
      </c>
      <c r="B746" s="43"/>
      <c r="C746" s="7"/>
      <c r="D746" s="7" t="str">
        <f>IF(D11="","",IF(H746="","",D11))</f>
        <v/>
      </c>
      <c r="E746" s="7"/>
      <c r="F746" s="7"/>
      <c r="G746" s="7"/>
      <c r="H746" s="10" t="str">
        <f>IF(AND(E746="",F746="",G746=""),"",IF(SUM(E746:G746)&gt;100,"ERROR",IF(AND(E10="TEST",SUM(E746:G746)&lt;=100),SUM(E746:G746),IF(AND(E10="*TEST",F746="",E746&lt;=30,G746&lt;=70),SUM(E746:G746),IF(AND(E10="*TEST",F746&lt;=20,E746&lt;=20,G746&lt;=60),SUM(E746:G746),IF(AND(E10="*TEST",F746="-",E746&lt;=20,G746&lt;=60),SUM(E746:G746),"ERROR"))))))</f>
        <v/>
      </c>
      <c r="I746" s="7" t="str">
        <f>IF(H746="ERROR","ERROR",IF(H746="","",IF(AND(F10="*LAB",F746="-"),"F",IF(H746&gt;69.5,"A",IF(H746&gt;59.5,"B",IF(H746&gt;49.5,"C",IF(AND(D10="*PROGRAM",H746&lt;49.5),"F",IF(H746&gt;44.5,"D",IF(H746&gt;39.5,"E","F")))))))))</f>
        <v/>
      </c>
      <c r="J746" s="7" t="str">
        <f t="shared" si="36"/>
        <v/>
      </c>
      <c r="K746" s="1"/>
    </row>
    <row r="747" ht="15.75" customHeight="1" spans="1:11">
      <c r="A747" s="28">
        <v>511</v>
      </c>
      <c r="B747" s="43"/>
      <c r="C747" s="7"/>
      <c r="D747" s="7" t="str">
        <f>IF(D11="","",IF(H747="","",D11))</f>
        <v/>
      </c>
      <c r="E747" s="7"/>
      <c r="F747" s="7"/>
      <c r="G747" s="7"/>
      <c r="H747" s="10" t="str">
        <f>IF(AND(E747="",F747="",G747=""),"",IF(SUM(E747:G747)&gt;100,"ERROR",IF(AND(E10="TEST",SUM(E747:G747)&lt;=100),SUM(E747:G747),IF(AND(E10="*TEST",F747="",E747&lt;=30,G747&lt;=70),SUM(E747:G747),IF(AND(E10="*TEST",F747&lt;=20,E747&lt;=20,G747&lt;=60),SUM(E747:G747),IF(AND(E10="*TEST",F747="-",E747&lt;=20,G747&lt;=60),SUM(E747:G747),"ERROR"))))))</f>
        <v/>
      </c>
      <c r="I747" s="7" t="str">
        <f>IF(H747="ERROR","ERROR",IF(H747="","",IF(AND(F10="*LAB",F747="-"),"F",IF(H747&gt;69.5,"A",IF(H747&gt;59.5,"B",IF(H747&gt;49.5,"C",IF(AND(D10="*PROGRAM",H747&lt;49.5),"F",IF(H747&gt;44.5,"D",IF(H747&gt;39.5,"E","F")))))))))</f>
        <v/>
      </c>
      <c r="J747" s="7" t="str">
        <f t="shared" si="36"/>
        <v/>
      </c>
      <c r="K747" s="1"/>
    </row>
    <row r="748" ht="15.75" customHeight="1" spans="1:11">
      <c r="A748" s="7">
        <v>512</v>
      </c>
      <c r="B748" s="43"/>
      <c r="C748" s="7"/>
      <c r="D748" s="7" t="str">
        <f>IF(D11="","",IF(H748="","",D11))</f>
        <v/>
      </c>
      <c r="E748" s="7"/>
      <c r="F748" s="7"/>
      <c r="G748" s="7"/>
      <c r="H748" s="10" t="str">
        <f>IF(AND(E748="",F748="",G748=""),"",IF(SUM(E748:G748)&gt;100,"ERROR",IF(AND(E10="TEST",SUM(E748:G748)&lt;=100),SUM(E748:G748),IF(AND(E10="*TEST",F748="",E748&lt;=30,G748&lt;=70),SUM(E748:G748),IF(AND(E10="*TEST",F748&lt;=20,E748&lt;=20,G748&lt;=60),SUM(E748:G748),IF(AND(E10="*TEST",F748="-",E748&lt;=20,G748&lt;=60),SUM(E748:G748),"ERROR"))))))</f>
        <v/>
      </c>
      <c r="I748" s="7" t="str">
        <f>IF(H748="ERROR","ERROR",IF(H748="","",IF(AND(F10="*LAB",F748="-"),"F",IF(H748&gt;69.5,"A",IF(H748&gt;59.5,"B",IF(H748&gt;49.5,"C",IF(AND(D10="*PROGRAM",H748&lt;49.5),"F",IF(H748&gt;44.5,"D",IF(H748&gt;39.5,"E","F")))))))))</f>
        <v/>
      </c>
      <c r="J748" s="7" t="str">
        <f t="shared" si="36"/>
        <v/>
      </c>
      <c r="K748" s="1"/>
    </row>
    <row r="749" ht="15.75" customHeight="1" spans="1:11">
      <c r="A749" s="28">
        <v>513</v>
      </c>
      <c r="B749" s="43"/>
      <c r="C749" s="7"/>
      <c r="D749" s="7" t="str">
        <f>IF(D11="","",IF(H749="","",D11))</f>
        <v/>
      </c>
      <c r="E749" s="7"/>
      <c r="F749" s="7"/>
      <c r="G749" s="7"/>
      <c r="H749" s="10" t="str">
        <f>IF(AND(E749="",F749="",G749=""),"",IF(SUM(E749:G749)&gt;100,"ERROR",IF(AND(E10="TEST",SUM(E749:G749)&lt;=100),SUM(E749:G749),IF(AND(E10="*TEST",F749="",E749&lt;=30,G749&lt;=70),SUM(E749:G749),IF(AND(E10="*TEST",F749&lt;=20,E749&lt;=20,G749&lt;=60),SUM(E749:G749),IF(AND(E10="*TEST",F749="-",E749&lt;=20,G749&lt;=60),SUM(E749:G749),"ERROR"))))))</f>
        <v/>
      </c>
      <c r="I749" s="7" t="str">
        <f>IF(H749="ERROR","ERROR",IF(H749="","",IF(AND(F10="*LAB",F749="-"),"F",IF(H749&gt;69.5,"A",IF(H749&gt;59.5,"B",IF(H749&gt;49.5,"C",IF(AND(D10="*PROGRAM",H749&lt;49.5),"F",IF(H749&gt;44.5,"D",IF(H749&gt;39.5,"E","F")))))))))</f>
        <v/>
      </c>
      <c r="J749" s="7" t="str">
        <f t="shared" si="36"/>
        <v/>
      </c>
      <c r="K749" s="1"/>
    </row>
    <row r="750" ht="15.75" customHeight="1" spans="1:11">
      <c r="A750" s="7">
        <v>514</v>
      </c>
      <c r="B750" s="43"/>
      <c r="C750" s="7"/>
      <c r="D750" s="7" t="str">
        <f>IF(D11="","",IF(H750="","",D11))</f>
        <v/>
      </c>
      <c r="E750" s="7"/>
      <c r="F750" s="7"/>
      <c r="G750" s="7"/>
      <c r="H750" s="10" t="str">
        <f>IF(AND(E750="",F750="",G750=""),"",IF(SUM(E750:G750)&gt;100,"ERROR",IF(AND(E10="TEST",SUM(E750:G750)&lt;=100),SUM(E750:G750),IF(AND(E10="*TEST",F750="",E750&lt;=30,G750&lt;=70),SUM(E750:G750),IF(AND(E10="*TEST",F750&lt;=20,E750&lt;=20,G750&lt;=60),SUM(E750:G750),IF(AND(E10="*TEST",F750="-",E750&lt;=20,G750&lt;=60),SUM(E750:G750),"ERROR"))))))</f>
        <v/>
      </c>
      <c r="I750" s="7" t="str">
        <f>IF(H750="ERROR","ERROR",IF(H750="","",IF(AND(F10="*LAB",F750="-"),"F",IF(H750&gt;69.5,"A",IF(H750&gt;59.5,"B",IF(H750&gt;49.5,"C",IF(AND(D10="*PROGRAM",H750&lt;49.5),"F",IF(H750&gt;44.5,"D",IF(H750&gt;39.5,"E","F")))))))))</f>
        <v/>
      </c>
      <c r="J750" s="7" t="str">
        <f t="shared" si="36"/>
        <v/>
      </c>
      <c r="K750" s="1"/>
    </row>
    <row r="751" ht="15.75" customHeight="1" spans="1:11">
      <c r="A751" s="28">
        <v>515</v>
      </c>
      <c r="B751" s="43"/>
      <c r="C751" s="7"/>
      <c r="D751" s="7" t="str">
        <f>IF(D11="","",IF(H751="","",D11))</f>
        <v/>
      </c>
      <c r="E751" s="7"/>
      <c r="F751" s="7"/>
      <c r="G751" s="7"/>
      <c r="H751" s="10" t="str">
        <f>IF(AND(E751="",F751="",G751=""),"",IF(SUM(E751:G751)&gt;100,"ERROR",IF(AND(E10="TEST",SUM(E751:G751)&lt;=100),SUM(E751:G751),IF(AND(E10="*TEST",F751="",E751&lt;=30,G751&lt;=70),SUM(E751:G751),IF(AND(E10="*TEST",F751&lt;=20,E751&lt;=20,G751&lt;=60),SUM(E751:G751),IF(AND(E10="*TEST",F751="-",E751&lt;=20,G751&lt;=60),SUM(E751:G751),"ERROR"))))))</f>
        <v/>
      </c>
      <c r="I751" s="7" t="str">
        <f>IF(H751="ERROR","ERROR",IF(H751="","",IF(AND(F10="*LAB",F751="-"),"F",IF(H751&gt;69.5,"A",IF(H751&gt;59.5,"B",IF(H751&gt;49.5,"C",IF(AND(D10="*PROGRAM",H751&lt;49.5),"F",IF(H751&gt;44.5,"D",IF(H751&gt;39.5,"E","F")))))))))</f>
        <v/>
      </c>
      <c r="J751" s="7" t="str">
        <f t="shared" si="36"/>
        <v/>
      </c>
      <c r="K751" s="1"/>
    </row>
    <row r="752" ht="15.75" customHeight="1" spans="1:11">
      <c r="A752" s="7">
        <v>516</v>
      </c>
      <c r="B752" s="43"/>
      <c r="C752" s="7"/>
      <c r="D752" s="7" t="str">
        <f>IF(D11="","",IF(H752="","",D11))</f>
        <v/>
      </c>
      <c r="E752" s="7"/>
      <c r="F752" s="7"/>
      <c r="G752" s="7"/>
      <c r="H752" s="10" t="str">
        <f>IF(AND(E752="",F752="",G752=""),"",IF(SUM(E752:G752)&gt;100,"ERROR",IF(AND(E10="TEST",SUM(E752:G752)&lt;=100),SUM(E752:G752),IF(AND(E10="*TEST",F752="",E752&lt;=30,G752&lt;=70),SUM(E752:G752),IF(AND(E10="*TEST",F752&lt;=20,E752&lt;=20,G752&lt;=60),SUM(E752:G752),IF(AND(E10="*TEST",F752="-",E752&lt;=20,G752&lt;=60),SUM(E752:G752),"ERROR"))))))</f>
        <v/>
      </c>
      <c r="I752" s="7" t="str">
        <f>IF(H752="ERROR","ERROR",IF(H752="","",IF(AND(F10="*LAB",F752="-"),"F",IF(H752&gt;69.5,"A",IF(H752&gt;59.5,"B",IF(H752&gt;49.5,"C",IF(AND(D10="*PROGRAM",H752&lt;49.5),"F",IF(H752&gt;44.5,"D",IF(H752&gt;39.5,"E","F")))))))))</f>
        <v/>
      </c>
      <c r="J752" s="7" t="str">
        <f t="shared" si="36"/>
        <v/>
      </c>
      <c r="K752" s="1"/>
    </row>
    <row r="753" ht="15.75" customHeight="1" spans="1:11">
      <c r="A753" s="28">
        <v>517</v>
      </c>
      <c r="B753" s="43"/>
      <c r="C753" s="7"/>
      <c r="D753" s="7" t="str">
        <f>IF(D11="","",IF(H753="","",D11))</f>
        <v/>
      </c>
      <c r="E753" s="7"/>
      <c r="F753" s="7"/>
      <c r="G753" s="7"/>
      <c r="H753" s="10" t="str">
        <f>IF(AND(E753="",F753="",G753=""),"",IF(SUM(E753:G753)&gt;100,"ERROR",IF(AND(E10="TEST",SUM(E753:G753)&lt;=100),SUM(E753:G753),IF(AND(E10="*TEST",F753="",E753&lt;=30,G753&lt;=70),SUM(E753:G753),IF(AND(E10="*TEST",F753&lt;=20,E753&lt;=20,G753&lt;=60),SUM(E753:G753),IF(AND(E10="*TEST",F753="-",E753&lt;=20,G753&lt;=60),SUM(E753:G753),"ERROR"))))))</f>
        <v/>
      </c>
      <c r="I753" s="7" t="str">
        <f>IF(H753="ERROR","ERROR",IF(H753="","",IF(AND(F10="*LAB",F753="-"),"F",IF(H753&gt;69.5,"A",IF(H753&gt;59.5,"B",IF(H753&gt;49.5,"C",IF(AND(D10="*PROGRAM",H753&lt;49.5),"F",IF(H753&gt;44.5,"D",IF(H753&gt;39.5,"E","F")))))))))</f>
        <v/>
      </c>
      <c r="J753" s="7" t="str">
        <f t="shared" si="36"/>
        <v/>
      </c>
      <c r="K753" s="1"/>
    </row>
    <row r="754" ht="15.75" customHeight="1" spans="1:11">
      <c r="A754" s="7">
        <v>518</v>
      </c>
      <c r="B754" s="43"/>
      <c r="C754" s="7"/>
      <c r="D754" s="7" t="str">
        <f>IF(D11="","",IF(H754="","",D11))</f>
        <v/>
      </c>
      <c r="E754" s="7"/>
      <c r="F754" s="7"/>
      <c r="G754" s="7"/>
      <c r="H754" s="10" t="str">
        <f>IF(AND(E754="",F754="",G754=""),"",IF(SUM(E754:G754)&gt;100,"ERROR",IF(AND(E10="TEST",SUM(E754:G754)&lt;=100),SUM(E754:G754),IF(AND(E10="*TEST",F754="",E754&lt;=30,G754&lt;=70),SUM(E754:G754),IF(AND(E10="*TEST",F754&lt;=20,E754&lt;=20,G754&lt;=60),SUM(E754:G754),IF(AND(E10="*TEST",F754="-",E754&lt;=20,G754&lt;=60),SUM(E754:G754),"ERROR"))))))</f>
        <v/>
      </c>
      <c r="I754" s="7" t="str">
        <f>IF(H754="ERROR","ERROR",IF(H754="","",IF(AND(F10="*LAB",F754="-"),"F",IF(H754&gt;69.5,"A",IF(H754&gt;59.5,"B",IF(H754&gt;49.5,"C",IF(AND(D10="*PROGRAM",H754&lt;49.5),"F",IF(H754&gt;44.5,"D",IF(H754&gt;39.5,"E","F")))))))))</f>
        <v/>
      </c>
      <c r="J754" s="7" t="str">
        <f t="shared" si="36"/>
        <v/>
      </c>
      <c r="K754" s="1"/>
    </row>
    <row r="755" ht="15.75" customHeight="1" spans="1:11">
      <c r="A755" s="28">
        <v>519</v>
      </c>
      <c r="B755" s="43"/>
      <c r="C755" s="7"/>
      <c r="D755" s="7" t="str">
        <f>IF(D11="","",IF(H755="","",D11))</f>
        <v/>
      </c>
      <c r="E755" s="7"/>
      <c r="F755" s="7"/>
      <c r="G755" s="7"/>
      <c r="H755" s="10" t="str">
        <f>IF(AND(E755="",F755="",G755=""),"",IF(SUM(E755:G755)&gt;100,"ERROR",IF(AND(E10="TEST",SUM(E755:G755)&lt;=100),SUM(E755:G755),IF(AND(E10="*TEST",F755="",E755&lt;=30,G755&lt;=70),SUM(E755:G755),IF(AND(E10="*TEST",F755&lt;=20,E755&lt;=20,G755&lt;=60),SUM(E755:G755),IF(AND(E10="*TEST",F755="-",E755&lt;=20,G755&lt;=60),SUM(E755:G755),"ERROR"))))))</f>
        <v/>
      </c>
      <c r="I755" s="7" t="str">
        <f>IF(H755="ERROR","ERROR",IF(H755="","",IF(AND(F10="*LAB",F755="-"),"F",IF(H755&gt;69.5,"A",IF(H755&gt;59.5,"B",IF(H755&gt;49.5,"C",IF(AND(D10="*PROGRAM",H755&lt;49.5),"F",IF(H755&gt;44.5,"D",IF(H755&gt;39.5,"E","F")))))))))</f>
        <v/>
      </c>
      <c r="J755" s="7" t="str">
        <f t="shared" si="36"/>
        <v/>
      </c>
      <c r="K755" s="1"/>
    </row>
    <row r="756" ht="15.75" customHeight="1" spans="1:11">
      <c r="A756" s="7">
        <v>520</v>
      </c>
      <c r="B756" s="43"/>
      <c r="C756" s="7"/>
      <c r="D756" s="7" t="str">
        <f>IF(D11="","",IF(H756="","",D11))</f>
        <v/>
      </c>
      <c r="E756" s="7"/>
      <c r="F756" s="7"/>
      <c r="G756" s="7"/>
      <c r="H756" s="10" t="str">
        <f>IF(AND(E756="",F756="",G756=""),"",IF(SUM(E756:G756)&gt;100,"ERROR",IF(AND(E10="TEST",SUM(E756:G756)&lt;=100),SUM(E756:G756),IF(AND(E10="*TEST",F756="",E756&lt;=30,G756&lt;=70),SUM(E756:G756),IF(AND(E10="*TEST",F756&lt;=20,E756&lt;=20,G756&lt;=60),SUM(E756:G756),IF(AND(E10="*TEST",F756="-",E756&lt;=20,G756&lt;=60),SUM(E756:G756),"ERROR"))))))</f>
        <v/>
      </c>
      <c r="I756" s="7" t="str">
        <f>IF(H756="ERROR","ERROR",IF(H756="","",IF(AND(F10="*LAB",F756="-"),"F",IF(H756&gt;69.5,"A",IF(H756&gt;59.5,"B",IF(H756&gt;49.5,"C",IF(AND(D10="*PROGRAM",H756&lt;49.5),"F",IF(H756&gt;44.5,"D",IF(H756&gt;39.5,"E","F")))))))))</f>
        <v/>
      </c>
      <c r="J756" s="7" t="str">
        <f t="shared" si="36"/>
        <v/>
      </c>
      <c r="K756" s="1"/>
    </row>
    <row r="757" ht="24.75" customHeight="1" spans="1:11">
      <c r="A757" s="1"/>
      <c r="B757" s="44"/>
      <c r="C757" s="1"/>
      <c r="D757" s="1"/>
      <c r="E757" s="1"/>
      <c r="F757" s="1"/>
      <c r="G757" s="13"/>
      <c r="H757" s="14"/>
      <c r="I757" s="14"/>
      <c r="J757" s="14"/>
      <c r="K757" s="1"/>
    </row>
    <row r="758" ht="15.75" customHeight="1" spans="1:11">
      <c r="A758" s="1"/>
      <c r="B758" s="15" t="s">
        <v>60</v>
      </c>
      <c r="C758" s="13"/>
      <c r="D758" s="13"/>
      <c r="E758" s="13"/>
      <c r="F758" s="13"/>
      <c r="G758" s="16" t="s">
        <v>61</v>
      </c>
      <c r="H758" s="17"/>
      <c r="I758" s="17"/>
      <c r="J758" s="17"/>
      <c r="K758" s="1"/>
    </row>
    <row r="759" ht="15.75" customHeight="1" spans="1:11">
      <c r="A759" s="1" t="str">
        <f>IF(AND(I776="",I717&lt;&gt;""),A889,"")</f>
        <v/>
      </c>
      <c r="B759" s="2" t="str">
        <f>IF(A759="","",B889)</f>
        <v/>
      </c>
      <c r="C759" s="16" t="s">
        <v>62</v>
      </c>
      <c r="D759" s="17"/>
      <c r="E759" s="17"/>
      <c r="F759" s="17"/>
      <c r="G759" s="1"/>
      <c r="H759" s="1"/>
      <c r="I759" s="1"/>
      <c r="J759" s="1"/>
      <c r="K759" s="1"/>
    </row>
    <row r="760" ht="15.75" customHeight="1" spans="1:11">
      <c r="A760" s="1" t="str">
        <f>IF(A759="","",A890)</f>
        <v/>
      </c>
      <c r="B760" s="2" t="str">
        <f>IF(A759="","",B890)</f>
        <v/>
      </c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 spans="1:11">
      <c r="A761" s="1" t="str">
        <f>IF(A759="","",A891)</f>
        <v/>
      </c>
      <c r="B761" s="2" t="str">
        <f>IF(A759="","",B891)</f>
        <v/>
      </c>
      <c r="C761" s="18" t="s">
        <v>63</v>
      </c>
      <c r="D761" s="17"/>
      <c r="E761" s="17"/>
      <c r="F761" s="17"/>
      <c r="G761" s="17"/>
      <c r="H761" s="17"/>
      <c r="I761" s="17"/>
      <c r="J761" s="24"/>
      <c r="K761" s="1"/>
    </row>
    <row r="762" ht="15.75" customHeight="1" spans="1:11">
      <c r="A762" s="1" t="str">
        <f>IF(A759="","",A892)</f>
        <v/>
      </c>
      <c r="B762" s="2" t="str">
        <f>IF(A759="","",B892)</f>
        <v/>
      </c>
      <c r="C762" s="19" t="s">
        <v>64</v>
      </c>
      <c r="F762" s="15"/>
      <c r="G762" s="15" t="s">
        <v>65</v>
      </c>
      <c r="J762" s="25"/>
      <c r="K762" s="1"/>
    </row>
    <row r="763" ht="15.75" customHeight="1" spans="1:11">
      <c r="A763" s="1" t="str">
        <f>IF(A759="","",A893)</f>
        <v/>
      </c>
      <c r="B763" s="2" t="str">
        <f>IF(A759="","",B893)</f>
        <v/>
      </c>
      <c r="C763" s="19" t="s">
        <v>66</v>
      </c>
      <c r="F763" s="15"/>
      <c r="G763" s="15" t="s">
        <v>67</v>
      </c>
      <c r="J763" s="25"/>
      <c r="K763" s="1"/>
    </row>
    <row r="764" ht="15.75" customHeight="1" spans="1:11">
      <c r="A764" s="1" t="str">
        <f>IF(A759="","",A894)</f>
        <v/>
      </c>
      <c r="B764" s="2" t="str">
        <f>IF(A759="","",B894)</f>
        <v/>
      </c>
      <c r="C764" s="20" t="s">
        <v>68</v>
      </c>
      <c r="D764" s="14"/>
      <c r="E764" s="14"/>
      <c r="F764" s="21"/>
      <c r="G764" s="21" t="s">
        <v>69</v>
      </c>
      <c r="H764" s="14"/>
      <c r="I764" s="14"/>
      <c r="J764" s="26"/>
      <c r="K764" s="1"/>
    </row>
    <row r="765" ht="15.75" customHeight="1" spans="1:11">
      <c r="A765" s="1" t="str">
        <f>IF(A759="","",A895)</f>
        <v/>
      </c>
      <c r="B765" s="22" t="str">
        <f>IF(A759="","",B895)</f>
        <v/>
      </c>
      <c r="C765" s="1"/>
      <c r="D765" s="1"/>
      <c r="E765" s="1"/>
      <c r="F765" s="1"/>
      <c r="G765" s="1"/>
      <c r="H765" s="1"/>
      <c r="I765" s="1"/>
      <c r="J765" s="27" t="s">
        <v>185</v>
      </c>
      <c r="K765" s="1"/>
    </row>
    <row r="766" ht="15.75" customHeight="1" spans="1:11">
      <c r="A766" s="23"/>
      <c r="B766" s="23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 spans="1:11">
      <c r="A767" s="1"/>
      <c r="B767" s="3" t="s">
        <v>0</v>
      </c>
      <c r="K767" s="1"/>
    </row>
    <row r="768" ht="15.75" customHeight="1" spans="1:11">
      <c r="A768" s="1"/>
      <c r="B768" s="4" t="s">
        <v>1</v>
      </c>
      <c r="K768" s="1"/>
    </row>
    <row r="769" ht="15.75" customHeight="1" spans="1:1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 spans="1:11">
      <c r="A770" s="2" t="str">
        <f t="shared" ref="A770:A773" si="37">A5</f>
        <v>School of Student: SEET</v>
      </c>
      <c r="D770" s="1"/>
      <c r="E770" s="5">
        <f t="shared" ref="E770:E773" si="38">E5</f>
        <v>0</v>
      </c>
      <c r="K770" s="1"/>
    </row>
    <row r="771" ht="15.75" customHeight="1" spans="1:11">
      <c r="A771" s="2" t="str">
        <f t="shared" si="37"/>
        <v>Department: BIOMEDICAL ENGINEERING</v>
      </c>
      <c r="D771" s="1"/>
      <c r="E771" s="5" t="str">
        <f t="shared" si="38"/>
        <v>Session: ---------------------------------</v>
      </c>
      <c r="K771" s="1"/>
    </row>
    <row r="772" ht="15.75" customHeight="1" spans="1:11">
      <c r="A772" s="2" t="str">
        <f t="shared" si="37"/>
        <v>Title of Course: ------------------------</v>
      </c>
      <c r="D772" s="1"/>
      <c r="E772" s="5" t="str">
        <f t="shared" si="38"/>
        <v>Course Code: -------------------------</v>
      </c>
      <c r="K772" s="1"/>
    </row>
    <row r="773" ht="15.75" customHeight="1" spans="1:11">
      <c r="A773" s="2" t="str">
        <f t="shared" si="37"/>
        <v>School Offering Course: ----------------------------</v>
      </c>
      <c r="D773" s="1"/>
      <c r="E773" s="5" t="str">
        <f t="shared" si="38"/>
        <v>Date: -----------------------------</v>
      </c>
      <c r="K773" s="1"/>
    </row>
    <row r="774" ht="15.75" customHeight="1" spans="1:11">
      <c r="A774" s="1"/>
      <c r="B774" s="2"/>
      <c r="C774" s="1"/>
      <c r="D774" s="5"/>
      <c r="E774" s="5"/>
      <c r="F774" s="5"/>
      <c r="G774" s="5"/>
      <c r="H774" s="5"/>
      <c r="I774" s="5"/>
      <c r="J774" s="5"/>
      <c r="K774" s="1"/>
    </row>
    <row r="775" ht="15.75" customHeight="1" spans="1:11">
      <c r="A775" s="6" t="s">
        <v>9</v>
      </c>
      <c r="B775" s="6" t="s">
        <v>10</v>
      </c>
      <c r="C775" s="6" t="s">
        <v>11</v>
      </c>
      <c r="D775" s="6" t="s">
        <v>12</v>
      </c>
      <c r="E775" s="6" t="s">
        <v>13</v>
      </c>
      <c r="F775" s="6" t="s">
        <v>14</v>
      </c>
      <c r="G775" s="6" t="s">
        <v>15</v>
      </c>
      <c r="H775" s="6" t="s">
        <v>16</v>
      </c>
      <c r="I775" s="6" t="s">
        <v>17</v>
      </c>
      <c r="J775" s="6" t="s">
        <v>18</v>
      </c>
      <c r="K775" s="1"/>
    </row>
    <row r="776" ht="15.75" customHeight="1" spans="1:11">
      <c r="A776" s="7">
        <v>521</v>
      </c>
      <c r="B776" s="43"/>
      <c r="C776" s="7"/>
      <c r="D776" s="7" t="str">
        <f>IF(D11="","",IF(H776="","",D11))</f>
        <v/>
      </c>
      <c r="E776" s="7"/>
      <c r="F776" s="7"/>
      <c r="G776" s="7"/>
      <c r="H776" s="10" t="str">
        <f>IF(AND(E776="",F776="",G776=""),"",IF(SUM(E776:G776)&gt;100,"ERROR",IF(AND(E10="TEST",SUM(E776:G776)&lt;=100),SUM(E776:G776),IF(AND(E10="*TEST",F776="",E776&lt;=30,G776&lt;=70),SUM(E776:G776),IF(AND(E10="*TEST",F776&lt;=20,E776&lt;=20,G776&lt;=60),SUM(E776:G776),IF(AND(E10="*TEST",F776="-",E776&lt;=20,G776&lt;=60),SUM(E776:G776),"ERROR"))))))</f>
        <v/>
      </c>
      <c r="I776" s="7" t="str">
        <f>IF(H776="ERROR","ERROR",IF(H776="","",IF(AND(F10="*LAB",F776="-"),"F",IF(H776&gt;69.5,"A",IF(H776&gt;59.5,"B",IF(H776&gt;49.5,"C",IF(AND(D10="*PROGRAM",H776&lt;49.5),"F",IF(H776&gt;44.5,"D",IF(H776&gt;39.5,"E","F")))))))))</f>
        <v/>
      </c>
      <c r="J776" s="7" t="str">
        <f t="shared" ref="J776:J815" si="39">IF(H776="ERROR","ERROR",IF(I776="","",IF(I776="F","FAIL","PASS")))</f>
        <v/>
      </c>
      <c r="K776" s="1"/>
    </row>
    <row r="777" ht="15.75" customHeight="1" spans="1:11">
      <c r="A777" s="7">
        <v>522</v>
      </c>
      <c r="B777" s="43"/>
      <c r="C777" s="7"/>
      <c r="D777" s="7" t="str">
        <f>IF(D11="","",IF(H777="","",D11))</f>
        <v/>
      </c>
      <c r="E777" s="7"/>
      <c r="F777" s="7"/>
      <c r="G777" s="7"/>
      <c r="H777" s="10" t="str">
        <f>IF(AND(E777="",F777="",G777=""),"",IF(SUM(E777:G777)&gt;100,"ERROR",IF(AND(E10="TEST",SUM(E777:G777)&lt;=100),SUM(E777:G777),IF(AND(E10="*TEST",F777="",E777&lt;=30,G777&lt;=70),SUM(E777:G777),IF(AND(E10="*TEST",F777&lt;=20,E777&lt;=20,G777&lt;=60),SUM(E777:G777),IF(AND(E10="*TEST",F777="-",E777&lt;=20,G777&lt;=60),SUM(E777:G777),"ERROR"))))))</f>
        <v/>
      </c>
      <c r="I777" s="7" t="str">
        <f>IF(H777="ERROR","ERROR",IF(H777="","",IF(AND(F10="*LAB",F777="-"),"F",IF(H777&gt;69.5,"A",IF(H777&gt;59.5,"B",IF(H777&gt;49.5,"C",IF(AND(D10="*PROGRAM",H777&lt;49.5),"F",IF(H777&gt;44.5,"D",IF(H777&gt;39.5,"E","F")))))))))</f>
        <v/>
      </c>
      <c r="J777" s="7" t="str">
        <f t="shared" si="39"/>
        <v/>
      </c>
      <c r="K777" s="1"/>
    </row>
    <row r="778" ht="15.75" customHeight="1" spans="1:11">
      <c r="A778" s="7">
        <v>523</v>
      </c>
      <c r="B778" s="43"/>
      <c r="C778" s="7"/>
      <c r="D778" s="7" t="str">
        <f>IF(D11="","",IF(H778="","",D11))</f>
        <v/>
      </c>
      <c r="E778" s="7"/>
      <c r="F778" s="7"/>
      <c r="G778" s="7"/>
      <c r="H778" s="10" t="str">
        <f>IF(AND(E778="",F778="",G778=""),"",IF(SUM(E778:G778)&gt;100,"ERROR",IF(AND(E10="TEST",SUM(E778:G778)&lt;=100),SUM(E778:G778),IF(AND(E10="*TEST",F778="",E778&lt;=30,G778&lt;=70),SUM(E778:G778),IF(AND(E10="*TEST",F778&lt;=20,E778&lt;=20,G778&lt;=60),SUM(E778:G778),IF(AND(E10="*TEST",F778="-",E778&lt;=20,G778&lt;=60),SUM(E778:G778),"ERROR"))))))</f>
        <v/>
      </c>
      <c r="I778" s="7" t="str">
        <f>IF(H778="ERROR","ERROR",IF(H778="","",IF(AND(F10="*LAB",F778="-"),"F",IF(H778&gt;69.5,"A",IF(H778&gt;59.5,"B",IF(H778&gt;49.5,"C",IF(AND(D10="*PROGRAM",H778&lt;49.5),"F",IF(H778&gt;44.5,"D",IF(H778&gt;39.5,"E","F")))))))))</f>
        <v/>
      </c>
      <c r="J778" s="7" t="str">
        <f t="shared" si="39"/>
        <v/>
      </c>
      <c r="K778" s="1"/>
    </row>
    <row r="779" ht="15.75" customHeight="1" spans="1:11">
      <c r="A779" s="7">
        <v>524</v>
      </c>
      <c r="B779" s="43"/>
      <c r="C779" s="7"/>
      <c r="D779" s="7" t="str">
        <f>IF(D11="","",IF(H779="","",D11))</f>
        <v/>
      </c>
      <c r="E779" s="7"/>
      <c r="F779" s="7"/>
      <c r="G779" s="7"/>
      <c r="H779" s="10" t="str">
        <f>IF(AND(E779="",F779="",G779=""),"",IF(SUM(E779:G779)&gt;100,"ERROR",IF(AND(E10="TEST",SUM(E779:G779)&lt;=100),SUM(E779:G779),IF(AND(E10="*TEST",F779="",E779&lt;=30,G779&lt;=70),SUM(E779:G779),IF(AND(E10="*TEST",F779&lt;=20,E779&lt;=20,G779&lt;=60),SUM(E779:G779),IF(AND(E10="*TEST",F779="-",E779&lt;=20,G779&lt;=60),SUM(E779:G779),"ERROR"))))))</f>
        <v/>
      </c>
      <c r="I779" s="7" t="str">
        <f>IF(H779="ERROR","ERROR",IF(H779="","",IF(AND(F10="*LAB",F779="-"),"F",IF(H779&gt;69.5,"A",IF(H779&gt;59.5,"B",IF(H779&gt;49.5,"C",IF(AND(D10="*PROGRAM",H779&lt;49.5),"F",IF(H779&gt;44.5,"D",IF(H779&gt;39.5,"E","F")))))))))</f>
        <v/>
      </c>
      <c r="J779" s="7" t="str">
        <f t="shared" si="39"/>
        <v/>
      </c>
      <c r="K779" s="1"/>
    </row>
    <row r="780" ht="15.75" customHeight="1" spans="1:11">
      <c r="A780" s="7">
        <v>525</v>
      </c>
      <c r="B780" s="43"/>
      <c r="C780" s="7"/>
      <c r="D780" s="7" t="str">
        <f>IF(D11="","",IF(H780="","",D11))</f>
        <v/>
      </c>
      <c r="E780" s="7"/>
      <c r="F780" s="7"/>
      <c r="G780" s="7"/>
      <c r="H780" s="10" t="str">
        <f>IF(AND(E780="",F780="",G780=""),"",IF(SUM(E780:G780)&gt;100,"ERROR",IF(AND(E10="TEST",SUM(E780:G780)&lt;=100),SUM(E780:G780),IF(AND(E10="*TEST",F780="",E780&lt;=30,G780&lt;=70),SUM(E780:G780),IF(AND(E10="*TEST",F780&lt;=20,E780&lt;=20,G780&lt;=60),SUM(E780:G780),IF(AND(E10="*TEST",F780="-",E780&lt;=20,G780&lt;=60),SUM(E780:G780),"ERROR"))))))</f>
        <v/>
      </c>
      <c r="I780" s="7" t="str">
        <f>IF(H780="ERROR","ERROR",IF(H780="","",IF(AND(F10="*LAB",F780="-"),"F",IF(H780&gt;69.5,"A",IF(H780&gt;59.5,"B",IF(H780&gt;49.5,"C",IF(AND(D10="*PROGRAM",H780&lt;49.5),"F",IF(H780&gt;44.5,"D",IF(H780&gt;39.5,"E","F")))))))))</f>
        <v/>
      </c>
      <c r="J780" s="7" t="str">
        <f t="shared" si="39"/>
        <v/>
      </c>
      <c r="K780" s="1"/>
    </row>
    <row r="781" ht="15.75" customHeight="1" spans="1:11">
      <c r="A781" s="7">
        <v>526</v>
      </c>
      <c r="B781" s="43"/>
      <c r="C781" s="7"/>
      <c r="D781" s="7" t="str">
        <f>IF(D11="","",IF(H781="","",D11))</f>
        <v/>
      </c>
      <c r="E781" s="7"/>
      <c r="F781" s="7"/>
      <c r="G781" s="7"/>
      <c r="H781" s="10" t="str">
        <f>IF(AND(E781="",F781="",G781=""),"",IF(SUM(E781:G781)&gt;100,"ERROR",IF(AND(E10="TEST",SUM(E781:G781)&lt;=100),SUM(E781:G781),IF(AND(E10="*TEST",F781="",E781&lt;=30,G781&lt;=70),SUM(E781:G781),IF(AND(E10="*TEST",F781&lt;=20,E781&lt;=20,G781&lt;=60),SUM(E781:G781),IF(AND(E10="*TEST",F781="-",E781&lt;=20,G781&lt;=60),SUM(E781:G781),"ERROR"))))))</f>
        <v/>
      </c>
      <c r="I781" s="7" t="str">
        <f>IF(H781="ERROR","ERROR",IF(H781="","",IF(AND(F10="*LAB",F781="-"),"F",IF(H781&gt;69.5,"A",IF(H781&gt;59.5,"B",IF(H781&gt;49.5,"C",IF(AND(D10="*PROGRAM",H781&lt;49.5),"F",IF(H781&gt;44.5,"D",IF(H781&gt;39.5,"E","F")))))))))</f>
        <v/>
      </c>
      <c r="J781" s="7" t="str">
        <f t="shared" si="39"/>
        <v/>
      </c>
      <c r="K781" s="1"/>
    </row>
    <row r="782" ht="15.75" customHeight="1" spans="1:11">
      <c r="A782" s="7">
        <v>527</v>
      </c>
      <c r="B782" s="43"/>
      <c r="C782" s="7"/>
      <c r="D782" s="7" t="str">
        <f>IF(D11="","",IF(H782="","",D11))</f>
        <v/>
      </c>
      <c r="E782" s="7"/>
      <c r="F782" s="7"/>
      <c r="G782" s="7"/>
      <c r="H782" s="10" t="str">
        <f>IF(AND(E782="",F782="",G782=""),"",IF(SUM(E782:G782)&gt;100,"ERROR",IF(AND(E10="TEST",SUM(E782:G782)&lt;=100),SUM(E782:G782),IF(AND(E10="*TEST",F782="",E782&lt;=30,G782&lt;=70),SUM(E782:G782),IF(AND(E10="*TEST",F782&lt;=20,E782&lt;=20,G782&lt;=60),SUM(E782:G782),IF(AND(E10="*TEST",F782="-",E782&lt;=20,G782&lt;=60),SUM(E782:G782),"ERROR"))))))</f>
        <v/>
      </c>
      <c r="I782" s="7" t="str">
        <f>IF(H782="ERROR","ERROR",IF(H782="","",IF(AND(F10="*LAB",F782="-"),"F",IF(H782&gt;69.5,"A",IF(H782&gt;59.5,"B",IF(H782&gt;49.5,"C",IF(AND(D10="*PROGRAM",H782&lt;49.5),"F",IF(H782&gt;44.5,"D",IF(H782&gt;39.5,"E","F")))))))))</f>
        <v/>
      </c>
      <c r="J782" s="7" t="str">
        <f t="shared" si="39"/>
        <v/>
      </c>
      <c r="K782" s="1"/>
    </row>
    <row r="783" ht="15.75" customHeight="1" spans="1:11">
      <c r="A783" s="7">
        <v>528</v>
      </c>
      <c r="B783" s="43"/>
      <c r="C783" s="7"/>
      <c r="D783" s="7" t="str">
        <f>IF(D11="","",IF(H783="","",D11))</f>
        <v/>
      </c>
      <c r="E783" s="7"/>
      <c r="F783" s="7"/>
      <c r="G783" s="7"/>
      <c r="H783" s="10" t="str">
        <f>IF(AND(E783="",F783="",G783=""),"",IF(SUM(E783:G783)&gt;100,"ERROR",IF(AND(E10="TEST",SUM(E783:G783)&lt;=100),SUM(E783:G783),IF(AND(E10="*TEST",F783="",E783&lt;=30,G783&lt;=70),SUM(E783:G783),IF(AND(E10="*TEST",F783&lt;=20,E783&lt;=20,G783&lt;=60),SUM(E783:G783),IF(AND(E10="*TEST",F783="-",E783&lt;=20,G783&lt;=60),SUM(E783:G783),"ERROR"))))))</f>
        <v/>
      </c>
      <c r="I783" s="7" t="str">
        <f>IF(H783="ERROR","ERROR",IF(H783="","",IF(AND(F10="*LAB",F783="-"),"F",IF(H783&gt;69.5,"A",IF(H783&gt;59.5,"B",IF(H783&gt;49.5,"C",IF(AND(D10="*PROGRAM",H783&lt;49.5),"F",IF(H783&gt;44.5,"D",IF(H783&gt;39.5,"E","F")))))))))</f>
        <v/>
      </c>
      <c r="J783" s="7" t="str">
        <f t="shared" si="39"/>
        <v/>
      </c>
      <c r="K783" s="1"/>
    </row>
    <row r="784" ht="15.75" customHeight="1" spans="1:11">
      <c r="A784" s="7">
        <v>529</v>
      </c>
      <c r="B784" s="43"/>
      <c r="C784" s="7"/>
      <c r="D784" s="7" t="str">
        <f>IF(D11="","",IF(H784="","",D11))</f>
        <v/>
      </c>
      <c r="E784" s="7"/>
      <c r="F784" s="7"/>
      <c r="G784" s="7"/>
      <c r="H784" s="10" t="str">
        <f>IF(AND(E784="",F784="",G784=""),"",IF(SUM(E784:G784)&gt;100,"ERROR",IF(AND(E10="TEST",SUM(E784:G784)&lt;=100),SUM(E784:G784),IF(AND(E10="*TEST",F784="",E784&lt;=30,G784&lt;=70),SUM(E784:G784),IF(AND(E10="*TEST",F784&lt;=20,E784&lt;=20,G784&lt;=60),SUM(E784:G784),IF(AND(E10="*TEST",F784="-",E784&lt;=20,G784&lt;=60),SUM(E784:G784),"ERROR"))))))</f>
        <v/>
      </c>
      <c r="I784" s="7" t="str">
        <f>IF(H784="ERROR","ERROR",IF(H784="","",IF(AND(F10="*LAB",F784="-"),"F",IF(H784&gt;69.5,"A",IF(H784&gt;59.5,"B",IF(H784&gt;49.5,"C",IF(AND(D10="*PROGRAM",H784&lt;49.5),"F",IF(H784&gt;44.5,"D",IF(H784&gt;39.5,"E","F")))))))))</f>
        <v/>
      </c>
      <c r="J784" s="7" t="str">
        <f t="shared" si="39"/>
        <v/>
      </c>
      <c r="K784" s="1"/>
    </row>
    <row r="785" ht="15.75" customHeight="1" spans="1:11">
      <c r="A785" s="7">
        <v>530</v>
      </c>
      <c r="B785" s="43"/>
      <c r="C785" s="7"/>
      <c r="D785" s="7" t="str">
        <f>IF(D11="","",IF(H785="","",D11))</f>
        <v/>
      </c>
      <c r="E785" s="7"/>
      <c r="F785" s="7"/>
      <c r="G785" s="7"/>
      <c r="H785" s="10" t="str">
        <f>IF(AND(E785="",F785="",G785=""),"",IF(SUM(E785:G785)&gt;100,"ERROR",IF(AND(E10="TEST",SUM(E785:G785)&lt;=100),SUM(E785:G785),IF(AND(E10="*TEST",F785="",E785&lt;=30,G785&lt;=70),SUM(E785:G785),IF(AND(E10="*TEST",F785&lt;=20,E785&lt;=20,G785&lt;=60),SUM(E785:G785),IF(AND(E10="*TEST",F785="-",E785&lt;=20,G785&lt;=60),SUM(E785:G785),"ERROR"))))))</f>
        <v/>
      </c>
      <c r="I785" s="7" t="str">
        <f>IF(H785="ERROR","ERROR",IF(H785="","",IF(AND(F10="*LAB",F785="-"),"F",IF(H785&gt;69.5,"A",IF(H785&gt;59.5,"B",IF(H785&gt;49.5,"C",IF(AND(D10="*PROGRAM",H785&lt;49.5),"F",IF(H785&gt;44.5,"D",IF(H785&gt;39.5,"E","F")))))))))</f>
        <v/>
      </c>
      <c r="J785" s="7" t="str">
        <f t="shared" si="39"/>
        <v/>
      </c>
      <c r="K785" s="1"/>
    </row>
    <row r="786" ht="15.75" customHeight="1" spans="1:11">
      <c r="A786" s="7">
        <v>531</v>
      </c>
      <c r="B786" s="43"/>
      <c r="C786" s="7"/>
      <c r="D786" s="7" t="str">
        <f>IF(D11="","",IF(H786="","",D11))</f>
        <v/>
      </c>
      <c r="E786" s="7"/>
      <c r="F786" s="7"/>
      <c r="G786" s="7"/>
      <c r="H786" s="10" t="str">
        <f>IF(AND(E786="",F786="",G786=""),"",IF(SUM(E786:G786)&gt;100,"ERROR",IF(AND(E10="TEST",SUM(E786:G786)&lt;=100),SUM(E786:G786),IF(AND(E10="*TEST",F786="",E786&lt;=30,G786&lt;=70),SUM(E786:G786),IF(AND(E10="*TEST",F786&lt;=20,E786&lt;=20,G786&lt;=60),SUM(E786:G786),IF(AND(E10="*TEST",F786="-",E786&lt;=20,G786&lt;=60),SUM(E786:G786),"ERROR"))))))</f>
        <v/>
      </c>
      <c r="I786" s="7" t="str">
        <f>IF(H786="ERROR","ERROR",IF(H786="","",IF(AND(F10="*LAB",F786="-"),"F",IF(H786&gt;69.5,"A",IF(H786&gt;59.5,"B",IF(H786&gt;49.5,"C",IF(AND(D10="*PROGRAM",H786&lt;49.5),"F",IF(H786&gt;44.5,"D",IF(H786&gt;39.5,"E","F")))))))))</f>
        <v/>
      </c>
      <c r="J786" s="7" t="str">
        <f t="shared" si="39"/>
        <v/>
      </c>
      <c r="K786" s="1"/>
    </row>
    <row r="787" ht="15.75" customHeight="1" spans="1:11">
      <c r="A787" s="7">
        <v>532</v>
      </c>
      <c r="B787" s="43"/>
      <c r="C787" s="7"/>
      <c r="D787" s="7" t="str">
        <f>IF(D11="","",IF(H787="","",D11))</f>
        <v/>
      </c>
      <c r="E787" s="7"/>
      <c r="F787" s="7"/>
      <c r="G787" s="7"/>
      <c r="H787" s="10" t="str">
        <f>IF(AND(E787="",F787="",G787=""),"",IF(SUM(E787:G787)&gt;100,"ERROR",IF(AND(E10="TEST",SUM(E787:G787)&lt;=100),SUM(E787:G787),IF(AND(E10="*TEST",F787="",E787&lt;=30,G787&lt;=70),SUM(E787:G787),IF(AND(E10="*TEST",F787&lt;=20,E787&lt;=20,G787&lt;=60),SUM(E787:G787),IF(AND(E10="*TEST",F787="-",E787&lt;=20,G787&lt;=60),SUM(E787:G787),"ERROR"))))))</f>
        <v/>
      </c>
      <c r="I787" s="7" t="str">
        <f>IF(H787="ERROR","ERROR",IF(H787="","",IF(AND(F10="*LAB",F787="-"),"F",IF(H787&gt;69.5,"A",IF(H787&gt;59.5,"B",IF(H787&gt;49.5,"C",IF(AND(D10="*PROGRAM",H787&lt;49.5),"F",IF(H787&gt;44.5,"D",IF(H787&gt;39.5,"E","F")))))))))</f>
        <v/>
      </c>
      <c r="J787" s="7" t="str">
        <f t="shared" si="39"/>
        <v/>
      </c>
      <c r="K787" s="1"/>
    </row>
    <row r="788" ht="15.75" customHeight="1" spans="1:11">
      <c r="A788" s="7">
        <v>533</v>
      </c>
      <c r="B788" s="43"/>
      <c r="C788" s="7"/>
      <c r="D788" s="7" t="str">
        <f>IF(D11="","",IF(H788="","",D11))</f>
        <v/>
      </c>
      <c r="E788" s="7"/>
      <c r="F788" s="7"/>
      <c r="G788" s="7"/>
      <c r="H788" s="10" t="str">
        <f>IF(AND(E788="",F788="",G788=""),"",IF(SUM(E788:G788)&gt;100,"ERROR",IF(AND(E10="TEST",SUM(E788:G788)&lt;=100),SUM(E788:G788),IF(AND(E10="*TEST",F788="",E788&lt;=30,G788&lt;=70),SUM(E788:G788),IF(AND(E10="*TEST",F788&lt;=20,E788&lt;=20,G788&lt;=60),SUM(E788:G788),IF(AND(E10="*TEST",F788="-",E788&lt;=20,G788&lt;=60),SUM(E788:G788),"ERROR"))))))</f>
        <v/>
      </c>
      <c r="I788" s="7" t="str">
        <f>IF(H788="ERROR","ERROR",IF(H788="","",IF(AND(F10="*LAB",F788="-"),"F",IF(H788&gt;69.5,"A",IF(H788&gt;59.5,"B",IF(H788&gt;49.5,"C",IF(AND(D10="*PROGRAM",H788&lt;49.5),"F",IF(H788&gt;44.5,"D",IF(H788&gt;39.5,"E","F")))))))))</f>
        <v/>
      </c>
      <c r="J788" s="7" t="str">
        <f t="shared" si="39"/>
        <v/>
      </c>
      <c r="K788" s="1"/>
    </row>
    <row r="789" ht="15.75" customHeight="1" spans="1:11">
      <c r="A789" s="7">
        <v>534</v>
      </c>
      <c r="B789" s="43"/>
      <c r="C789" s="7"/>
      <c r="D789" s="7" t="str">
        <f>IF(D11="","",IF(H789="","",D11))</f>
        <v/>
      </c>
      <c r="E789" s="7"/>
      <c r="F789" s="7"/>
      <c r="G789" s="7"/>
      <c r="H789" s="10" t="str">
        <f>IF(AND(E789="",F789="",G789=""),"",IF(SUM(E789:G789)&gt;100,"ERROR",IF(AND(E10="TEST",SUM(E789:G789)&lt;=100),SUM(E789:G789),IF(AND(E10="*TEST",F789="",E789&lt;=30,G789&lt;=70),SUM(E789:G789),IF(AND(E10="*TEST",F789&lt;=20,E789&lt;=20,G789&lt;=60),SUM(E789:G789),IF(AND(E10="*TEST",F789="-",E789&lt;=20,G789&lt;=60),SUM(E789:G789),"ERROR"))))))</f>
        <v/>
      </c>
      <c r="I789" s="7" t="str">
        <f>IF(H789="ERROR","ERROR",IF(H789="","",IF(AND(F10="*LAB",F789="-"),"F",IF(H789&gt;69.5,"A",IF(H789&gt;59.5,"B",IF(H789&gt;49.5,"C",IF(AND(D10="*PROGRAM",H789&lt;49.5),"F",IF(H789&gt;44.5,"D",IF(H789&gt;39.5,"E","F")))))))))</f>
        <v/>
      </c>
      <c r="J789" s="7" t="str">
        <f t="shared" si="39"/>
        <v/>
      </c>
      <c r="K789" s="1"/>
    </row>
    <row r="790" ht="15.75" customHeight="1" spans="1:11">
      <c r="A790" s="7">
        <v>535</v>
      </c>
      <c r="B790" s="43"/>
      <c r="C790" s="7"/>
      <c r="D790" s="7" t="str">
        <f>IF(D11="","",IF(H790="","",D11))</f>
        <v/>
      </c>
      <c r="E790" s="7"/>
      <c r="F790" s="7"/>
      <c r="G790" s="7"/>
      <c r="H790" s="10" t="str">
        <f>IF(AND(E790="",F790="",G790=""),"",IF(SUM(E790:G790)&gt;100,"ERROR",IF(AND(E10="TEST",SUM(E790:G790)&lt;=100),SUM(E790:G790),IF(AND(E10="*TEST",F790="",E790&lt;=30,G790&lt;=70),SUM(E790:G790),IF(AND(E10="*TEST",F790&lt;=20,E790&lt;=20,G790&lt;=60),SUM(E790:G790),IF(AND(E10="*TEST",F790="-",E790&lt;=20,G790&lt;=60),SUM(E790:G790),"ERROR"))))))</f>
        <v/>
      </c>
      <c r="I790" s="7" t="str">
        <f>IF(H790="ERROR","ERROR",IF(H790="","",IF(AND(F10="*LAB",F790="-"),"F",IF(H790&gt;69.5,"A",IF(H790&gt;59.5,"B",IF(H790&gt;49.5,"C",IF(AND(D10="*PROGRAM",H790&lt;49.5),"F",IF(H790&gt;44.5,"D",IF(H790&gt;39.5,"E","F")))))))))</f>
        <v/>
      </c>
      <c r="J790" s="7" t="str">
        <f t="shared" si="39"/>
        <v/>
      </c>
      <c r="K790" s="1"/>
    </row>
    <row r="791" ht="15.75" customHeight="1" spans="1:11">
      <c r="A791" s="7">
        <v>536</v>
      </c>
      <c r="B791" s="43"/>
      <c r="C791" s="7"/>
      <c r="D791" s="7" t="str">
        <f>IF(D11="","",IF(H791="","",D11))</f>
        <v/>
      </c>
      <c r="E791" s="7"/>
      <c r="F791" s="7"/>
      <c r="G791" s="7"/>
      <c r="H791" s="10" t="str">
        <f>IF(AND(E791="",F791="",G791=""),"",IF(SUM(E791:G791)&gt;100,"ERROR",IF(AND(E10="TEST",SUM(E791:G791)&lt;=100),SUM(E791:G791),IF(AND(E10="*TEST",F791="",E791&lt;=30,G791&lt;=70),SUM(E791:G791),IF(AND(E10="*TEST",F791&lt;=20,E791&lt;=20,G791&lt;=60),SUM(E791:G791),IF(AND(E10="*TEST",F791="-",E791&lt;=20,G791&lt;=60),SUM(E791:G791),"ERROR"))))))</f>
        <v/>
      </c>
      <c r="I791" s="7" t="str">
        <f>IF(H791="ERROR","ERROR",IF(H791="","",IF(AND(F10="*LAB",F791="-"),"F",IF(H791&gt;69.5,"A",IF(H791&gt;59.5,"B",IF(H791&gt;49.5,"C",IF(AND(D10="*PROGRAM",H791&lt;49.5),"F",IF(H791&gt;44.5,"D",IF(H791&gt;39.5,"E","F")))))))))</f>
        <v/>
      </c>
      <c r="J791" s="7" t="str">
        <f t="shared" si="39"/>
        <v/>
      </c>
      <c r="K791" s="1"/>
    </row>
    <row r="792" ht="15.75" customHeight="1" spans="1:11">
      <c r="A792" s="7">
        <v>537</v>
      </c>
      <c r="B792" s="43"/>
      <c r="C792" s="7"/>
      <c r="D792" s="7" t="str">
        <f>IF(D11="","",IF(H792="","",D11))</f>
        <v/>
      </c>
      <c r="E792" s="7"/>
      <c r="F792" s="7"/>
      <c r="G792" s="7"/>
      <c r="H792" s="10" t="str">
        <f>IF(AND(E792="",F792="",G792=""),"",IF(SUM(E792:G792)&gt;100,"ERROR",IF(AND(E10="TEST",SUM(E792:G792)&lt;=100),SUM(E792:G792),IF(AND(E10="*TEST",F792="",E792&lt;=30,G792&lt;=70),SUM(E792:G792),IF(AND(E10="*TEST",F792&lt;=20,E792&lt;=20,G792&lt;=60),SUM(E792:G792),IF(AND(E10="*TEST",F792="-",E792&lt;=20,G792&lt;=60),SUM(E792:G792),"ERROR"))))))</f>
        <v/>
      </c>
      <c r="I792" s="7" t="str">
        <f>IF(H792="ERROR","ERROR",IF(H792="","",IF(AND(F10="*LAB",F792="-"),"F",IF(H792&gt;69.5,"A",IF(H792&gt;59.5,"B",IF(H792&gt;49.5,"C",IF(AND(D10="*PROGRAM",H792&lt;49.5),"F",IF(H792&gt;44.5,"D",IF(H792&gt;39.5,"E","F")))))))))</f>
        <v/>
      </c>
      <c r="J792" s="7" t="str">
        <f t="shared" si="39"/>
        <v/>
      </c>
      <c r="K792" s="1"/>
    </row>
    <row r="793" ht="15.75" customHeight="1" spans="1:11">
      <c r="A793" s="7">
        <v>538</v>
      </c>
      <c r="B793" s="43"/>
      <c r="C793" s="7"/>
      <c r="D793" s="7" t="str">
        <f>IF(D11="","",IF(H793="","",D11))</f>
        <v/>
      </c>
      <c r="E793" s="7"/>
      <c r="F793" s="7"/>
      <c r="G793" s="7"/>
      <c r="H793" s="10" t="str">
        <f>IF(AND(E793="",F793="",G793=""),"",IF(SUM(E793:G793)&gt;100,"ERROR",IF(AND(E10="TEST",SUM(E793:G793)&lt;=100),SUM(E793:G793),IF(AND(E10="*TEST",F793="",E793&lt;=30,G793&lt;=70),SUM(E793:G793),IF(AND(E10="*TEST",F793&lt;=20,E793&lt;=20,G793&lt;=60),SUM(E793:G793),IF(AND(E10="*TEST",F793="-",E793&lt;=20,G793&lt;=60),SUM(E793:G793),"ERROR"))))))</f>
        <v/>
      </c>
      <c r="I793" s="7" t="str">
        <f>IF(H793="ERROR","ERROR",IF(H793="","",IF(AND(F10="*LAB",F793="-"),"F",IF(H793&gt;69.5,"A",IF(H793&gt;59.5,"B",IF(H793&gt;49.5,"C",IF(AND(D10="*PROGRAM",H793&lt;49.5),"F",IF(H793&gt;44.5,"D",IF(H793&gt;39.5,"E","F")))))))))</f>
        <v/>
      </c>
      <c r="J793" s="7" t="str">
        <f t="shared" si="39"/>
        <v/>
      </c>
      <c r="K793" s="1"/>
    </row>
    <row r="794" ht="15.75" customHeight="1" spans="1:11">
      <c r="A794" s="7">
        <v>539</v>
      </c>
      <c r="B794" s="43"/>
      <c r="C794" s="7"/>
      <c r="D794" s="7" t="str">
        <f>IF(D11="","",IF(H794="","",D11))</f>
        <v/>
      </c>
      <c r="E794" s="7"/>
      <c r="F794" s="7"/>
      <c r="G794" s="7"/>
      <c r="H794" s="10" t="str">
        <f>IF(AND(E794="",F794="",G794=""),"",IF(SUM(E794:G794)&gt;100,"ERROR",IF(AND(E10="TEST",SUM(E794:G794)&lt;=100),SUM(E794:G794),IF(AND(E10="*TEST",F794="",E794&lt;=30,G794&lt;=70),SUM(E794:G794),IF(AND(E10="*TEST",F794&lt;=20,E794&lt;=20,G794&lt;=60),SUM(E794:G794),IF(AND(E10="*TEST",F794="-",E794&lt;=20,G794&lt;=60),SUM(E794:G794),"ERROR"))))))</f>
        <v/>
      </c>
      <c r="I794" s="7" t="str">
        <f>IF(H794="ERROR","ERROR",IF(H794="","",IF(AND(F10="*LAB",F794="-"),"F",IF(H794&gt;69.5,"A",IF(H794&gt;59.5,"B",IF(H794&gt;49.5,"C",IF(AND(D10="*PROGRAM",H794&lt;49.5),"F",IF(H794&gt;44.5,"D",IF(H794&gt;39.5,"E","F")))))))))</f>
        <v/>
      </c>
      <c r="J794" s="7" t="str">
        <f t="shared" si="39"/>
        <v/>
      </c>
      <c r="K794" s="1"/>
    </row>
    <row r="795" ht="15.75" customHeight="1" spans="1:11">
      <c r="A795" s="7">
        <v>540</v>
      </c>
      <c r="B795" s="43"/>
      <c r="C795" s="7"/>
      <c r="D795" s="7" t="str">
        <f>IF(D11="","",IF(H795="","",D11))</f>
        <v/>
      </c>
      <c r="E795" s="7"/>
      <c r="F795" s="7"/>
      <c r="G795" s="7"/>
      <c r="H795" s="10" t="str">
        <f>IF(AND(E795="",F795="",G795=""),"",IF(SUM(E795:G795)&gt;100,"ERROR",IF(AND(E10="TEST",SUM(E795:G795)&lt;=100),SUM(E795:G795),IF(AND(E10="*TEST",F795="",E795&lt;=30,G795&lt;=70),SUM(E795:G795),IF(AND(E10="*TEST",F795&lt;=20,E795&lt;=20,G795&lt;=60),SUM(E795:G795),IF(AND(E10="*TEST",F795="-",E795&lt;=20,G795&lt;=60),SUM(E795:G795),"ERROR"))))))</f>
        <v/>
      </c>
      <c r="I795" s="7" t="str">
        <f>IF(H795="ERROR","ERROR",IF(H795="","",IF(AND(F10="*LAB",F795="-"),"F",IF(H795&gt;69.5,"A",IF(H795&gt;59.5,"B",IF(H795&gt;49.5,"C",IF(AND(D10="*PROGRAM",H795&lt;49.5),"F",IF(H795&gt;44.5,"D",IF(H795&gt;39.5,"E","F")))))))))</f>
        <v/>
      </c>
      <c r="J795" s="7" t="str">
        <f t="shared" si="39"/>
        <v/>
      </c>
      <c r="K795" s="1"/>
    </row>
    <row r="796" ht="15.75" customHeight="1" spans="1:11">
      <c r="A796" s="7">
        <v>541</v>
      </c>
      <c r="B796" s="43"/>
      <c r="C796" s="7"/>
      <c r="D796" s="7" t="str">
        <f>IF(D11="","",IF(H796="","",D11))</f>
        <v/>
      </c>
      <c r="E796" s="7"/>
      <c r="F796" s="7"/>
      <c r="G796" s="7"/>
      <c r="H796" s="10" t="str">
        <f>IF(AND(E796="",F796="",G796=""),"",IF(SUM(E796:G796)&gt;100,"ERROR",IF(AND(E10="TEST",SUM(E796:G796)&lt;=100),SUM(E796:G796),IF(AND(E10="*TEST",F796="",E796&lt;=30,G796&lt;=70),SUM(E796:G796),IF(AND(E10="*TEST",F796&lt;=20,E796&lt;=20,G796&lt;=60),SUM(E796:G796),IF(AND(E10="*TEST",F796="-",E796&lt;=20,G796&lt;=60),SUM(E796:G796),"ERROR"))))))</f>
        <v/>
      </c>
      <c r="I796" s="7" t="str">
        <f>IF(H796="ERROR","ERROR",IF(H796="","",IF(AND(F10="*LAB",F796="-"),"F",IF(H796&gt;69.5,"A",IF(H796&gt;59.5,"B",IF(H796&gt;49.5,"C",IF(AND(D10="*PROGRAM",H796&lt;49.5),"F",IF(H796&gt;44.5,"D",IF(H796&gt;39.5,"E","F")))))))))</f>
        <v/>
      </c>
      <c r="J796" s="7" t="str">
        <f t="shared" si="39"/>
        <v/>
      </c>
      <c r="K796" s="1"/>
    </row>
    <row r="797" ht="15.75" customHeight="1" spans="1:11">
      <c r="A797" s="7">
        <v>542</v>
      </c>
      <c r="B797" s="43"/>
      <c r="C797" s="7"/>
      <c r="D797" s="7" t="str">
        <f>IF(D11="","",IF(H797="","",D11))</f>
        <v/>
      </c>
      <c r="E797" s="7"/>
      <c r="F797" s="7"/>
      <c r="G797" s="7"/>
      <c r="H797" s="10" t="str">
        <f>IF(AND(E797="",F797="",G797=""),"",IF(SUM(E797:G797)&gt;100,"ERROR",IF(AND(E10="TEST",SUM(E797:G797)&lt;=100),SUM(E797:G797),IF(AND(E10="*TEST",F797="",E797&lt;=30,G797&lt;=70),SUM(E797:G797),IF(AND(E10="*TEST",F797&lt;=20,E797&lt;=20,G797&lt;=60),SUM(E797:G797),IF(AND(E10="*TEST",F797="-",E797&lt;=20,G797&lt;=60),SUM(E797:G797),"ERROR"))))))</f>
        <v/>
      </c>
      <c r="I797" s="7" t="str">
        <f>IF(H797="ERROR","ERROR",IF(H797="","",IF(AND(F10="*LAB",F797="-"),"F",IF(H797&gt;69.5,"A",IF(H797&gt;59.5,"B",IF(H797&gt;49.5,"C",IF(AND(D10="*PROGRAM",H797&lt;49.5),"F",IF(H797&gt;44.5,"D",IF(H797&gt;39.5,"E","F")))))))))</f>
        <v/>
      </c>
      <c r="J797" s="7" t="str">
        <f t="shared" si="39"/>
        <v/>
      </c>
      <c r="K797" s="1"/>
    </row>
    <row r="798" ht="15.75" customHeight="1" spans="1:11">
      <c r="A798" s="7">
        <v>543</v>
      </c>
      <c r="B798" s="43"/>
      <c r="C798" s="7"/>
      <c r="D798" s="7" t="str">
        <f>IF(D11="","",IF(H798="","",D11))</f>
        <v/>
      </c>
      <c r="E798" s="7"/>
      <c r="F798" s="7"/>
      <c r="G798" s="7"/>
      <c r="H798" s="10" t="str">
        <f>IF(AND(E798="",F798="",G798=""),"",IF(SUM(E798:G798)&gt;100,"ERROR",IF(AND(E10="TEST",SUM(E798:G798)&lt;=100),SUM(E798:G798),IF(AND(E10="*TEST",F798="",E798&lt;=30,G798&lt;=70),SUM(E798:G798),IF(AND(E10="*TEST",F798&lt;=20,E798&lt;=20,G798&lt;=60),SUM(E798:G798),IF(AND(E10="*TEST",F798="-",E798&lt;=20,G798&lt;=60),SUM(E798:G798),"ERROR"))))))</f>
        <v/>
      </c>
      <c r="I798" s="7" t="str">
        <f>IF(H798="ERROR","ERROR",IF(H798="","",IF(AND(F10="*LAB",F798="-"),"F",IF(H798&gt;69.5,"A",IF(H798&gt;59.5,"B",IF(H798&gt;49.5,"C",IF(AND(D10="*PROGRAM",H798&lt;49.5),"F",IF(H798&gt;44.5,"D",IF(H798&gt;39.5,"E","F")))))))))</f>
        <v/>
      </c>
      <c r="J798" s="7" t="str">
        <f t="shared" si="39"/>
        <v/>
      </c>
      <c r="K798" s="1"/>
    </row>
    <row r="799" ht="15.75" customHeight="1" spans="1:11">
      <c r="A799" s="7">
        <v>544</v>
      </c>
      <c r="B799" s="43"/>
      <c r="C799" s="7"/>
      <c r="D799" s="7" t="str">
        <f>IF(D11="","",IF(H799="","",D11))</f>
        <v/>
      </c>
      <c r="E799" s="7"/>
      <c r="F799" s="7"/>
      <c r="G799" s="7"/>
      <c r="H799" s="10" t="str">
        <f>IF(AND(E799="",F799="",G799=""),"",IF(SUM(E799:G799)&gt;100,"ERROR",IF(AND(E10="TEST",SUM(E799:G799)&lt;=100),SUM(E799:G799),IF(AND(E10="*TEST",F799="",E799&lt;=30,G799&lt;=70),SUM(E799:G799),IF(AND(E10="*TEST",F799&lt;=20,E799&lt;=20,G799&lt;=60),SUM(E799:G799),IF(AND(E10="*TEST",F799="-",E799&lt;=20,G799&lt;=60),SUM(E799:G799),"ERROR"))))))</f>
        <v/>
      </c>
      <c r="I799" s="7" t="str">
        <f>IF(H799="ERROR","ERROR",IF(H799="","",IF(AND(F10="*LAB",F799="-"),"F",IF(H799&gt;69.5,"A",IF(H799&gt;59.5,"B",IF(H799&gt;49.5,"C",IF(AND(D10="*PROGRAM",H799&lt;49.5),"F",IF(H799&gt;44.5,"D",IF(H799&gt;39.5,"E","F")))))))))</f>
        <v/>
      </c>
      <c r="J799" s="7" t="str">
        <f t="shared" si="39"/>
        <v/>
      </c>
      <c r="K799" s="1"/>
    </row>
    <row r="800" ht="15.75" customHeight="1" spans="1:11">
      <c r="A800" s="7">
        <v>545</v>
      </c>
      <c r="B800" s="43"/>
      <c r="C800" s="7"/>
      <c r="D800" s="7" t="str">
        <f>IF(D11="","",IF(H800="","",D11))</f>
        <v/>
      </c>
      <c r="E800" s="7"/>
      <c r="F800" s="7"/>
      <c r="G800" s="7"/>
      <c r="H800" s="10" t="str">
        <f>IF(AND(E800="",F800="",G800=""),"",IF(SUM(E800:G800)&gt;100,"ERROR",IF(AND(E10="TEST",SUM(E800:G800)&lt;=100),SUM(E800:G800),IF(AND(E10="*TEST",F800="",E800&lt;=30,G800&lt;=70),SUM(E800:G800),IF(AND(E10="*TEST",F800&lt;=20,E800&lt;=20,G800&lt;=60),SUM(E800:G800),IF(AND(E10="*TEST",F800="-",E800&lt;=20,G800&lt;=60),SUM(E800:G800),"ERROR"))))))</f>
        <v/>
      </c>
      <c r="I800" s="7" t="str">
        <f>IF(H800="ERROR","ERROR",IF(H800="","",IF(AND(F10="*LAB",F800="-"),"F",IF(H800&gt;69.5,"A",IF(H800&gt;59.5,"B",IF(H800&gt;49.5,"C",IF(AND(D10="*PROGRAM",H800&lt;49.5),"F",IF(H800&gt;44.5,"D",IF(H800&gt;39.5,"E","F")))))))))</f>
        <v/>
      </c>
      <c r="J800" s="7" t="str">
        <f t="shared" si="39"/>
        <v/>
      </c>
      <c r="K800" s="1"/>
    </row>
    <row r="801" ht="15.75" customHeight="1" spans="1:11">
      <c r="A801" s="7">
        <v>546</v>
      </c>
      <c r="B801" s="43"/>
      <c r="C801" s="7"/>
      <c r="D801" s="7" t="str">
        <f>IF(D11="","",IF(H801="","",D11))</f>
        <v/>
      </c>
      <c r="E801" s="7"/>
      <c r="F801" s="7"/>
      <c r="G801" s="7"/>
      <c r="H801" s="10" t="str">
        <f>IF(AND(E801="",F801="",G801=""),"",IF(SUM(E801:G801)&gt;100,"ERROR",IF(AND(E10="TEST",SUM(E801:G801)&lt;=100),SUM(E801:G801),IF(AND(E10="*TEST",F801="",E801&lt;=30,G801&lt;=70),SUM(E801:G801),IF(AND(E10="*TEST",F801&lt;=20,E801&lt;=20,G801&lt;=60),SUM(E801:G801),IF(AND(E10="*TEST",F801="-",E801&lt;=20,G801&lt;=60),SUM(E801:G801),"ERROR"))))))</f>
        <v/>
      </c>
      <c r="I801" s="7" t="str">
        <f>IF(H801="ERROR","ERROR",IF(H801="","",IF(AND(F10="*LAB",F801="-"),"F",IF(H801&gt;69.5,"A",IF(H801&gt;59.5,"B",IF(H801&gt;49.5,"C",IF(AND(D10="*PROGRAM",H801&lt;49.5),"F",IF(H801&gt;44.5,"D",IF(H801&gt;39.5,"E","F")))))))))</f>
        <v/>
      </c>
      <c r="J801" s="7" t="str">
        <f t="shared" si="39"/>
        <v/>
      </c>
      <c r="K801" s="1"/>
    </row>
    <row r="802" ht="15.75" customHeight="1" spans="1:11">
      <c r="A802" s="7">
        <v>547</v>
      </c>
      <c r="B802" s="43"/>
      <c r="C802" s="7"/>
      <c r="D802" s="7" t="str">
        <f>IF(D11="","",IF(H802="","",D11))</f>
        <v/>
      </c>
      <c r="E802" s="7"/>
      <c r="F802" s="7"/>
      <c r="G802" s="7"/>
      <c r="H802" s="10" t="str">
        <f>IF(AND(E802="",F802="",G802=""),"",IF(SUM(E802:G802)&gt;100,"ERROR",IF(AND(E10="TEST",SUM(E802:G802)&lt;=100),SUM(E802:G802),IF(AND(E10="*TEST",F802="",E802&lt;=30,G802&lt;=70),SUM(E802:G802),IF(AND(E10="*TEST",F802&lt;=20,E802&lt;=20,G802&lt;=60),SUM(E802:G802),IF(AND(E10="*TEST",F802="-",E802&lt;=20,G802&lt;=60),SUM(E802:G802),"ERROR"))))))</f>
        <v/>
      </c>
      <c r="I802" s="7" t="str">
        <f>IF(H802="ERROR","ERROR",IF(H802="","",IF(AND(F10="*LAB",F802="-"),"F",IF(H802&gt;69.5,"A",IF(H802&gt;59.5,"B",IF(H802&gt;49.5,"C",IF(AND(D10="*PROGRAM",H802&lt;49.5),"F",IF(H802&gt;44.5,"D",IF(H802&gt;39.5,"E","F")))))))))</f>
        <v/>
      </c>
      <c r="J802" s="7" t="str">
        <f t="shared" si="39"/>
        <v/>
      </c>
      <c r="K802" s="1"/>
    </row>
    <row r="803" ht="15.75" customHeight="1" spans="1:11">
      <c r="A803" s="7">
        <v>548</v>
      </c>
      <c r="B803" s="43"/>
      <c r="C803" s="7"/>
      <c r="D803" s="7" t="str">
        <f>IF(D11="","",IF(H803="","",D11))</f>
        <v/>
      </c>
      <c r="E803" s="7"/>
      <c r="F803" s="7"/>
      <c r="G803" s="7"/>
      <c r="H803" s="10" t="str">
        <f>IF(AND(E803="",F803="",G803=""),"",IF(SUM(E803:G803)&gt;100,"ERROR",IF(AND(E10="TEST",SUM(E803:G803)&lt;=100),SUM(E803:G803),IF(AND(E10="*TEST",F803="",E803&lt;=30,G803&lt;=70),SUM(E803:G803),IF(AND(E10="*TEST",F803&lt;=20,E803&lt;=20,G803&lt;=60),SUM(E803:G803),IF(AND(E10="*TEST",F803="-",E803&lt;=20,G803&lt;=60),SUM(E803:G803),"ERROR"))))))</f>
        <v/>
      </c>
      <c r="I803" s="7" t="str">
        <f>IF(H803="ERROR","ERROR",IF(H803="","",IF(AND(F10="*LAB",F803="-"),"F",IF(H803&gt;69.5,"A",IF(H803&gt;59.5,"B",IF(H803&gt;49.5,"C",IF(AND(D10="*PROGRAM",H803&lt;49.5),"F",IF(H803&gt;44.5,"D",IF(H803&gt;39.5,"E","F")))))))))</f>
        <v/>
      </c>
      <c r="J803" s="7" t="str">
        <f t="shared" si="39"/>
        <v/>
      </c>
      <c r="K803" s="1"/>
    </row>
    <row r="804" ht="15.75" customHeight="1" spans="1:11">
      <c r="A804" s="7">
        <v>549</v>
      </c>
      <c r="B804" s="43"/>
      <c r="C804" s="7"/>
      <c r="D804" s="7" t="str">
        <f>IF(D11="","",IF(H804="","",D11))</f>
        <v/>
      </c>
      <c r="E804" s="7"/>
      <c r="F804" s="7"/>
      <c r="G804" s="7"/>
      <c r="H804" s="10" t="str">
        <f>IF(AND(E804="",F804="",G804=""),"",IF(SUM(E804:G804)&gt;100,"ERROR",IF(AND(E10="TEST",SUM(E804:G804)&lt;=100),SUM(E804:G804),IF(AND(E10="*TEST",F804="",E804&lt;=30,G804&lt;=70),SUM(E804:G804),IF(AND(E10="*TEST",F804&lt;=20,E804&lt;=20,G804&lt;=60),SUM(E804:G804),IF(AND(E10="*TEST",F804="-",E804&lt;=20,G804&lt;=60),SUM(E804:G804),"ERROR"))))))</f>
        <v/>
      </c>
      <c r="I804" s="7" t="str">
        <f>IF(H804="ERROR","ERROR",IF(H804="","",IF(AND(F10="*LAB",F804="-"),"F",IF(H804&gt;69.5,"A",IF(H804&gt;59.5,"B",IF(H804&gt;49.5,"C",IF(AND(D10="*PROGRAM",H804&lt;49.5),"F",IF(H804&gt;44.5,"D",IF(H804&gt;39.5,"E","F")))))))))</f>
        <v/>
      </c>
      <c r="J804" s="7" t="str">
        <f t="shared" si="39"/>
        <v/>
      </c>
      <c r="K804" s="1"/>
    </row>
    <row r="805" ht="15.75" customHeight="1" spans="1:11">
      <c r="A805" s="7">
        <v>550</v>
      </c>
      <c r="B805" s="43"/>
      <c r="C805" s="7"/>
      <c r="D805" s="7" t="str">
        <f>IF(D11="","",IF(H805="","",D11))</f>
        <v/>
      </c>
      <c r="E805" s="7"/>
      <c r="F805" s="7"/>
      <c r="G805" s="7"/>
      <c r="H805" s="10" t="str">
        <f>IF(AND(E805="",F805="",G805=""),"",IF(SUM(E805:G805)&gt;100,"ERROR",IF(AND(E10="TEST",SUM(E805:G805)&lt;=100),SUM(E805:G805),IF(AND(E10="*TEST",F805="",E805&lt;=30,G805&lt;=70),SUM(E805:G805),IF(AND(E10="*TEST",F805&lt;=20,E805&lt;=20,G805&lt;=60),SUM(E805:G805),IF(AND(E10="*TEST",F805="-",E805&lt;=20,G805&lt;=60),SUM(E805:G805),"ERROR"))))))</f>
        <v/>
      </c>
      <c r="I805" s="7" t="str">
        <f>IF(H805="ERROR","ERROR",IF(H805="","",IF(AND(F10="*LAB",F805="-"),"F",IF(H805&gt;69.5,"A",IF(H805&gt;59.5,"B",IF(H805&gt;49.5,"C",IF(AND(D10="*PROGRAM",H805&lt;49.5),"F",IF(H805&gt;44.5,"D",IF(H805&gt;39.5,"E","F")))))))))</f>
        <v/>
      </c>
      <c r="J805" s="7" t="str">
        <f t="shared" si="39"/>
        <v/>
      </c>
      <c r="K805" s="1"/>
    </row>
    <row r="806" ht="15.75" customHeight="1" spans="1:11">
      <c r="A806" s="7">
        <v>551</v>
      </c>
      <c r="B806" s="43"/>
      <c r="C806" s="7"/>
      <c r="D806" s="7" t="str">
        <f>IF(D11="","",IF(H806="","",D11))</f>
        <v/>
      </c>
      <c r="E806" s="7"/>
      <c r="F806" s="7"/>
      <c r="G806" s="7"/>
      <c r="H806" s="10" t="str">
        <f>IF(AND(E806="",F806="",G806=""),"",IF(SUM(E806:G806)&gt;100,"ERROR",IF(AND(E10="TEST",SUM(E806:G806)&lt;=100),SUM(E806:G806),IF(AND(E10="*TEST",F806="",E806&lt;=30,G806&lt;=70),SUM(E806:G806),IF(AND(E10="*TEST",F806&lt;=20,E806&lt;=20,G806&lt;=60),SUM(E806:G806),IF(AND(E10="*TEST",F806="-",E806&lt;=20,G806&lt;=60),SUM(E806:G806),"ERROR"))))))</f>
        <v/>
      </c>
      <c r="I806" s="7" t="str">
        <f>IF(H806="ERROR","ERROR",IF(H806="","",IF(AND(F10="*LAB",F806="-"),"F",IF(H806&gt;69.5,"A",IF(H806&gt;59.5,"B",IF(H806&gt;49.5,"C",IF(AND(D10="*PROGRAM",H806&lt;49.5),"F",IF(H806&gt;44.5,"D",IF(H806&gt;39.5,"E","F")))))))))</f>
        <v/>
      </c>
      <c r="J806" s="7" t="str">
        <f t="shared" si="39"/>
        <v/>
      </c>
      <c r="K806" s="1"/>
    </row>
    <row r="807" ht="15.75" customHeight="1" spans="1:11">
      <c r="A807" s="7">
        <v>552</v>
      </c>
      <c r="B807" s="43"/>
      <c r="C807" s="7"/>
      <c r="D807" s="7" t="str">
        <f>IF(D11="","",IF(H807="","",D11))</f>
        <v/>
      </c>
      <c r="E807" s="7"/>
      <c r="F807" s="7"/>
      <c r="G807" s="7"/>
      <c r="H807" s="10" t="str">
        <f>IF(AND(E807="",F807="",G807=""),"",IF(SUM(E807:G807)&gt;100,"ERROR",IF(AND(E10="TEST",SUM(E807:G807)&lt;=100),SUM(E807:G807),IF(AND(E10="*TEST",F807="",E807&lt;=30,G807&lt;=70),SUM(E807:G807),IF(AND(E10="*TEST",F807&lt;=20,E807&lt;=20,G807&lt;=60),SUM(E807:G807),IF(AND(E10="*TEST",F807="-",E807&lt;=20,G807&lt;=60),SUM(E807:G807),"ERROR"))))))</f>
        <v/>
      </c>
      <c r="I807" s="7" t="str">
        <f>IF(H807="ERROR","ERROR",IF(H807="","",IF(AND(F10="*LAB",F807="-"),"F",IF(H807&gt;69.5,"A",IF(H807&gt;59.5,"B",IF(H807&gt;49.5,"C",IF(AND(D10="*PROGRAM",H807&lt;49.5),"F",IF(H807&gt;44.5,"D",IF(H807&gt;39.5,"E","F")))))))))</f>
        <v/>
      </c>
      <c r="J807" s="7" t="str">
        <f t="shared" si="39"/>
        <v/>
      </c>
      <c r="K807" s="1"/>
    </row>
    <row r="808" ht="15.75" customHeight="1" spans="1:11">
      <c r="A808" s="7">
        <v>553</v>
      </c>
      <c r="B808" s="43"/>
      <c r="C808" s="7"/>
      <c r="D808" s="7" t="str">
        <f>IF(D11="","",IF(H808="","",D11))</f>
        <v/>
      </c>
      <c r="E808" s="7"/>
      <c r="F808" s="7"/>
      <c r="G808" s="7"/>
      <c r="H808" s="10" t="str">
        <f>IF(AND(E808="",F808="",G808=""),"",IF(SUM(E808:G808)&gt;100,"ERROR",IF(AND(E10="TEST",SUM(E808:G808)&lt;=100),SUM(E808:G808),IF(AND(E10="*TEST",F808="",E808&lt;=30,G808&lt;=70),SUM(E808:G808),IF(AND(E10="*TEST",F808&lt;=20,E808&lt;=20,G808&lt;=60),SUM(E808:G808),IF(AND(E10="*TEST",F808="-",E808&lt;=20,G808&lt;=60),SUM(E808:G808),"ERROR"))))))</f>
        <v/>
      </c>
      <c r="I808" s="7" t="str">
        <f>IF(H808="ERROR","ERROR",IF(H808="","",IF(AND(F10="*LAB",F808="-"),"F",IF(H808&gt;69.5,"A",IF(H808&gt;59.5,"B",IF(H808&gt;49.5,"C",IF(AND(D10="*PROGRAM",H808&lt;49.5),"F",IF(H808&gt;44.5,"D",IF(H808&gt;39.5,"E","F")))))))))</f>
        <v/>
      </c>
      <c r="J808" s="7" t="str">
        <f t="shared" si="39"/>
        <v/>
      </c>
      <c r="K808" s="1"/>
    </row>
    <row r="809" ht="15.75" customHeight="1" spans="1:11">
      <c r="A809" s="7">
        <v>554</v>
      </c>
      <c r="B809" s="43"/>
      <c r="C809" s="7"/>
      <c r="D809" s="7" t="str">
        <f>IF(D11="","",IF(H809="","",D11))</f>
        <v/>
      </c>
      <c r="E809" s="7"/>
      <c r="F809" s="7"/>
      <c r="G809" s="7"/>
      <c r="H809" s="10" t="str">
        <f>IF(AND(E809="",F809="",G809=""),"",IF(SUM(E809:G809)&gt;100,"ERROR",IF(AND(E10="TEST",SUM(E809:G809)&lt;=100),SUM(E809:G809),IF(AND(E10="*TEST",F809="",E809&lt;=30,G809&lt;=70),SUM(E809:G809),IF(AND(E10="*TEST",F809&lt;=20,E809&lt;=20,G809&lt;=60),SUM(E809:G809),IF(AND(E10="*TEST",F809="-",E809&lt;=20,G809&lt;=60),SUM(E809:G809),"ERROR"))))))</f>
        <v/>
      </c>
      <c r="I809" s="7" t="str">
        <f>IF(H809="ERROR","ERROR",IF(H809="","",IF(AND(F10="*LAB",F809="-"),"F",IF(H809&gt;69.5,"A",IF(H809&gt;59.5,"B",IF(H809&gt;49.5,"C",IF(AND(D10="*PROGRAM",H809&lt;49.5),"F",IF(H809&gt;44.5,"D",IF(H809&gt;39.5,"E","F")))))))))</f>
        <v/>
      </c>
      <c r="J809" s="7" t="str">
        <f t="shared" si="39"/>
        <v/>
      </c>
      <c r="K809" s="1"/>
    </row>
    <row r="810" ht="15.75" customHeight="1" spans="1:11">
      <c r="A810" s="7">
        <v>555</v>
      </c>
      <c r="B810" s="43"/>
      <c r="C810" s="7"/>
      <c r="D810" s="7" t="str">
        <f>IF(D11="","",IF(H810="","",D11))</f>
        <v/>
      </c>
      <c r="E810" s="7"/>
      <c r="F810" s="7"/>
      <c r="G810" s="7"/>
      <c r="H810" s="10" t="str">
        <f>IF(AND(E810="",F810="",G810=""),"",IF(SUM(E810:G810)&gt;100,"ERROR",IF(AND(E10="TEST",SUM(E810:G810)&lt;=100),SUM(E810:G810),IF(AND(E10="*TEST",F810="",E810&lt;=30,G810&lt;=70),SUM(E810:G810),IF(AND(E10="*TEST",F810&lt;=20,E810&lt;=20,G810&lt;=60),SUM(E810:G810),IF(AND(E10="*TEST",F810="-",E810&lt;=20,G810&lt;=60),SUM(E810:G810),"ERROR"))))))</f>
        <v/>
      </c>
      <c r="I810" s="7" t="str">
        <f>IF(H810="ERROR","ERROR",IF(H810="","",IF(AND(F10="*LAB",F810="-"),"F",IF(H810&gt;69.5,"A",IF(H810&gt;59.5,"B",IF(H810&gt;49.5,"C",IF(AND(D10="*PROGRAM",H810&lt;49.5),"F",IF(H810&gt;44.5,"D",IF(H810&gt;39.5,"E","F")))))))))</f>
        <v/>
      </c>
      <c r="J810" s="7" t="str">
        <f t="shared" si="39"/>
        <v/>
      </c>
      <c r="K810" s="1"/>
    </row>
    <row r="811" ht="15.75" customHeight="1" spans="1:11">
      <c r="A811" s="7">
        <v>556</v>
      </c>
      <c r="B811" s="43"/>
      <c r="C811" s="7"/>
      <c r="D811" s="7" t="str">
        <f>IF(D11="","",IF(H811="","",D11))</f>
        <v/>
      </c>
      <c r="E811" s="7"/>
      <c r="F811" s="7"/>
      <c r="G811" s="7"/>
      <c r="H811" s="10" t="str">
        <f>IF(AND(E811="",F811="",G811=""),"",IF(SUM(E811:G811)&gt;100,"ERROR",IF(AND(E10="TEST",SUM(E811:G811)&lt;=100),SUM(E811:G811),IF(AND(E10="*TEST",F811="",E811&lt;=30,G811&lt;=70),SUM(E811:G811),IF(AND(E10="*TEST",F811&lt;=20,E811&lt;=20,G811&lt;=60),SUM(E811:G811),IF(AND(E10="*TEST",F811="-",E811&lt;=20,G811&lt;=60),SUM(E811:G811),"ERROR"))))))</f>
        <v/>
      </c>
      <c r="I811" s="7" t="str">
        <f>IF(H811="ERROR","ERROR",IF(H811="","",IF(AND(F10="*LAB",F811="-"),"F",IF(H811&gt;69.5,"A",IF(H811&gt;59.5,"B",IF(H811&gt;49.5,"C",IF(AND(D10="*PROGRAM",H811&lt;49.5),"F",IF(H811&gt;44.5,"D",IF(H811&gt;39.5,"E","F")))))))))</f>
        <v/>
      </c>
      <c r="J811" s="7" t="str">
        <f t="shared" si="39"/>
        <v/>
      </c>
      <c r="K811" s="1"/>
    </row>
    <row r="812" ht="15.75" customHeight="1" spans="1:11">
      <c r="A812" s="7">
        <v>557</v>
      </c>
      <c r="B812" s="43"/>
      <c r="C812" s="7"/>
      <c r="D812" s="7" t="str">
        <f>IF(D11="","",IF(H812="","",D11))</f>
        <v/>
      </c>
      <c r="E812" s="7"/>
      <c r="F812" s="7"/>
      <c r="G812" s="7"/>
      <c r="H812" s="10" t="str">
        <f>IF(AND(E812="",F812="",G812=""),"",IF(SUM(E812:G812)&gt;100,"ERROR",IF(AND(E10="TEST",SUM(E812:G812)&lt;=100),SUM(E812:G812),IF(AND(E10="*TEST",F812="",E812&lt;=30,G812&lt;=70),SUM(E812:G812),IF(AND(E10="*TEST",F812&lt;=20,E812&lt;=20,G812&lt;=60),SUM(E812:G812),IF(AND(E10="*TEST",F812="-",E812&lt;=20,G812&lt;=60),SUM(E812:G812),"ERROR"))))))</f>
        <v/>
      </c>
      <c r="I812" s="7" t="str">
        <f>IF(H812="ERROR","ERROR",IF(H812="","",IF(AND(F10="*LAB",F812="-"),"F",IF(H812&gt;69.5,"A",IF(H812&gt;59.5,"B",IF(H812&gt;49.5,"C",IF(AND(D10="*PROGRAM",H812&lt;49.5),"F",IF(H812&gt;44.5,"D",IF(H812&gt;39.5,"E","F")))))))))</f>
        <v/>
      </c>
      <c r="J812" s="7" t="str">
        <f t="shared" si="39"/>
        <v/>
      </c>
      <c r="K812" s="1"/>
    </row>
    <row r="813" ht="15.75" customHeight="1" spans="1:11">
      <c r="A813" s="7">
        <v>558</v>
      </c>
      <c r="B813" s="43"/>
      <c r="C813" s="7"/>
      <c r="D813" s="7" t="str">
        <f>IF(D11="","",IF(H813="","",D11))</f>
        <v/>
      </c>
      <c r="E813" s="7"/>
      <c r="F813" s="7"/>
      <c r="G813" s="7"/>
      <c r="H813" s="10" t="str">
        <f>IF(AND(E813="",F813="",G813=""),"",IF(SUM(E813:G813)&gt;100,"ERROR",IF(AND(E10="TEST",SUM(E813:G813)&lt;=100),SUM(E813:G813),IF(AND(E10="*TEST",F813="",E813&lt;=30,G813&lt;=70),SUM(E813:G813),IF(AND(E10="*TEST",F813&lt;=20,E813&lt;=20,G813&lt;=60),SUM(E813:G813),IF(AND(E10="*TEST",F813="-",E813&lt;=20,G813&lt;=60),SUM(E813:G813),"ERROR"))))))</f>
        <v/>
      </c>
      <c r="I813" s="7" t="str">
        <f>IF(H813="ERROR","ERROR",IF(H813="","",IF(AND(F10="*LAB",F813="-"),"F",IF(H813&gt;69.5,"A",IF(H813&gt;59.5,"B",IF(H813&gt;49.5,"C",IF(AND(D10="*PROGRAM",H813&lt;49.5),"F",IF(H813&gt;44.5,"D",IF(H813&gt;39.5,"E","F")))))))))</f>
        <v/>
      </c>
      <c r="J813" s="7" t="str">
        <f t="shared" si="39"/>
        <v/>
      </c>
      <c r="K813" s="1"/>
    </row>
    <row r="814" ht="15.75" customHeight="1" spans="1:11">
      <c r="A814" s="7">
        <v>559</v>
      </c>
      <c r="B814" s="43"/>
      <c r="C814" s="7"/>
      <c r="D814" s="7" t="str">
        <f>IF(D11="","",IF(H814="","",D11))</f>
        <v/>
      </c>
      <c r="E814" s="7"/>
      <c r="F814" s="7"/>
      <c r="G814" s="7"/>
      <c r="H814" s="10" t="str">
        <f>IF(AND(E814="",F814="",G814=""),"",IF(SUM(E814:G814)&gt;100,"ERROR",IF(AND(E10="TEST",SUM(E814:G814)&lt;=100),SUM(E814:G814),IF(AND(E10="*TEST",F814="",E814&lt;=30,G814&lt;=70),SUM(E814:G814),IF(AND(E10="*TEST",F814&lt;=20,E814&lt;=20,G814&lt;=60),SUM(E814:G814),IF(AND(E10="*TEST",F814="-",E814&lt;=20,G814&lt;=60),SUM(E814:G814),"ERROR"))))))</f>
        <v/>
      </c>
      <c r="I814" s="7" t="str">
        <f>IF(H814="ERROR","ERROR",IF(H814="","",IF(AND(F10="*LAB",F814="-"),"F",IF(H814&gt;69.5,"A",IF(H814&gt;59.5,"B",IF(H814&gt;49.5,"C",IF(AND(D10="*PROGRAM",H814&lt;49.5),"F",IF(H814&gt;44.5,"D",IF(H814&gt;39.5,"E","F")))))))))</f>
        <v/>
      </c>
      <c r="J814" s="7" t="str">
        <f t="shared" si="39"/>
        <v/>
      </c>
      <c r="K814" s="1"/>
    </row>
    <row r="815" ht="15.75" customHeight="1" spans="1:11">
      <c r="A815" s="7">
        <v>560</v>
      </c>
      <c r="B815" s="43"/>
      <c r="C815" s="7"/>
      <c r="D815" s="7" t="str">
        <f>IF(D11="","",IF(H815="","",D11))</f>
        <v/>
      </c>
      <c r="E815" s="7"/>
      <c r="F815" s="7"/>
      <c r="G815" s="7"/>
      <c r="H815" s="10" t="str">
        <f>IF(AND(E815="",F815="",G815=""),"",IF(SUM(E815:G815)&gt;100,"ERROR",IF(AND(E10="TEST",SUM(E815:G815)&lt;=100),SUM(E815:G815),IF(AND(E10="*TEST",F815="",E815&lt;=30,G815&lt;=70),SUM(E815:G815),IF(AND(E10="*TEST",F815&lt;=20,E815&lt;=20,G815&lt;=60),SUM(E815:G815),IF(AND(E10="*TEST",F815="-",E815&lt;=20,G815&lt;=60),SUM(E815:G815),"ERROR"))))))</f>
        <v/>
      </c>
      <c r="I815" s="7" t="str">
        <f>IF(H815="ERROR","ERROR",IF(H815="","",IF(AND(F10="*LAB",F815="-"),"F",IF(H815&gt;69.5,"A",IF(H815&gt;59.5,"B",IF(H815&gt;49.5,"C",IF(AND(D10="*PROGRAM",H815&lt;49.5),"F",IF(H815&gt;44.5,"D",IF(H815&gt;39.5,"E","F")))))))))</f>
        <v/>
      </c>
      <c r="J815" s="7" t="str">
        <f t="shared" si="39"/>
        <v/>
      </c>
      <c r="K815" s="1"/>
    </row>
    <row r="816" ht="24.75" customHeight="1" spans="1:11">
      <c r="A816" s="1"/>
      <c r="B816" s="44"/>
      <c r="C816" s="1"/>
      <c r="D816" s="1"/>
      <c r="E816" s="1"/>
      <c r="F816" s="1"/>
      <c r="G816" s="13"/>
      <c r="H816" s="14"/>
      <c r="I816" s="14"/>
      <c r="J816" s="14"/>
      <c r="K816" s="1"/>
    </row>
    <row r="817" ht="15.75" customHeight="1" spans="1:11">
      <c r="A817" s="1"/>
      <c r="B817" s="15" t="s">
        <v>60</v>
      </c>
      <c r="C817" s="13"/>
      <c r="D817" s="13"/>
      <c r="E817" s="13"/>
      <c r="F817" s="13"/>
      <c r="G817" s="16" t="s">
        <v>61</v>
      </c>
      <c r="H817" s="17"/>
      <c r="I817" s="17"/>
      <c r="J817" s="17"/>
      <c r="K817" s="1"/>
    </row>
    <row r="818" ht="15.75" customHeight="1" spans="1:11">
      <c r="A818" s="1" t="str">
        <f>IF(AND(I835="",I776&lt;&gt;""),A889,"")</f>
        <v/>
      </c>
      <c r="B818" s="2" t="str">
        <f>IF(A818="","",B889)</f>
        <v/>
      </c>
      <c r="C818" s="16" t="s">
        <v>62</v>
      </c>
      <c r="D818" s="17"/>
      <c r="E818" s="17"/>
      <c r="F818" s="17"/>
      <c r="G818" s="1"/>
      <c r="H818" s="1"/>
      <c r="I818" s="1"/>
      <c r="J818" s="1"/>
      <c r="K818" s="1"/>
    </row>
    <row r="819" ht="15.75" customHeight="1" spans="1:11">
      <c r="A819" s="1" t="str">
        <f>IF(A818="","",A890)</f>
        <v/>
      </c>
      <c r="B819" s="2" t="str">
        <f>IF(A818="","",B890)</f>
        <v/>
      </c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 spans="1:11">
      <c r="A820" s="1" t="str">
        <f>IF(A818="","",A891)</f>
        <v/>
      </c>
      <c r="B820" s="2" t="str">
        <f>IF(A818="","",B891)</f>
        <v/>
      </c>
      <c r="C820" s="18" t="s">
        <v>63</v>
      </c>
      <c r="D820" s="17"/>
      <c r="E820" s="17"/>
      <c r="F820" s="17"/>
      <c r="G820" s="17"/>
      <c r="H820" s="17"/>
      <c r="I820" s="17"/>
      <c r="J820" s="24"/>
      <c r="K820" s="1"/>
    </row>
    <row r="821" ht="15.75" customHeight="1" spans="1:11">
      <c r="A821" s="1" t="str">
        <f>IF(A818="","",A892)</f>
        <v/>
      </c>
      <c r="B821" s="2" t="str">
        <f>IF(A818="","",B892)</f>
        <v/>
      </c>
      <c r="C821" s="19" t="s">
        <v>64</v>
      </c>
      <c r="F821" s="15"/>
      <c r="G821" s="15" t="s">
        <v>65</v>
      </c>
      <c r="J821" s="25"/>
      <c r="K821" s="1"/>
    </row>
    <row r="822" ht="15.75" customHeight="1" spans="1:11">
      <c r="A822" s="1" t="str">
        <f>IF(A818="","",A893)</f>
        <v/>
      </c>
      <c r="B822" s="2" t="str">
        <f>IF(A818="","",B893)</f>
        <v/>
      </c>
      <c r="C822" s="19" t="s">
        <v>66</v>
      </c>
      <c r="F822" s="15"/>
      <c r="G822" s="15" t="s">
        <v>67</v>
      </c>
      <c r="J822" s="25"/>
      <c r="K822" s="1"/>
    </row>
    <row r="823" ht="15.75" customHeight="1" spans="1:11">
      <c r="A823" s="1" t="str">
        <f>IF(A818="","",A894)</f>
        <v/>
      </c>
      <c r="B823" s="2" t="str">
        <f>IF(A818="","",B894)</f>
        <v/>
      </c>
      <c r="C823" s="20" t="s">
        <v>68</v>
      </c>
      <c r="D823" s="14"/>
      <c r="E823" s="14"/>
      <c r="F823" s="21"/>
      <c r="G823" s="21" t="s">
        <v>69</v>
      </c>
      <c r="H823" s="14"/>
      <c r="I823" s="14"/>
      <c r="J823" s="26"/>
      <c r="K823" s="1"/>
    </row>
    <row r="824" ht="15.75" customHeight="1" spans="1:11">
      <c r="A824" s="1" t="str">
        <f>IF(A818="","",A895)</f>
        <v/>
      </c>
      <c r="B824" s="22" t="str">
        <f>IF(A818="","",B895)</f>
        <v/>
      </c>
      <c r="C824" s="1"/>
      <c r="D824" s="1"/>
      <c r="E824" s="1"/>
      <c r="F824" s="1"/>
      <c r="G824" s="1"/>
      <c r="H824" s="1"/>
      <c r="I824" s="1"/>
      <c r="J824" s="27" t="s">
        <v>186</v>
      </c>
      <c r="K824" s="1"/>
    </row>
    <row r="825" ht="15.75" customHeight="1" spans="1:11">
      <c r="A825" s="23"/>
      <c r="B825" s="23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 spans="1:11">
      <c r="A826" s="1"/>
      <c r="B826" s="3" t="s">
        <v>0</v>
      </c>
      <c r="K826" s="1"/>
    </row>
    <row r="827" ht="15.75" customHeight="1" spans="1:11">
      <c r="A827" s="1"/>
      <c r="B827" s="4" t="s">
        <v>1</v>
      </c>
      <c r="K827" s="1"/>
    </row>
    <row r="828" ht="15.75" customHeight="1" spans="1:1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 spans="1:11">
      <c r="A829" s="2" t="str">
        <f t="shared" ref="A829:A832" si="40">A5</f>
        <v>School of Student: SEET</v>
      </c>
      <c r="D829" s="1"/>
      <c r="E829" s="5">
        <f t="shared" ref="E829:E832" si="41">E5</f>
        <v>0</v>
      </c>
      <c r="K829" s="1"/>
    </row>
    <row r="830" ht="15.75" customHeight="1" spans="1:11">
      <c r="A830" s="2" t="str">
        <f t="shared" si="40"/>
        <v>Department: BIOMEDICAL ENGINEERING</v>
      </c>
      <c r="D830" s="1"/>
      <c r="E830" s="5" t="str">
        <f t="shared" si="41"/>
        <v>Session: ---------------------------------</v>
      </c>
      <c r="K830" s="1"/>
    </row>
    <row r="831" ht="15.75" customHeight="1" spans="1:11">
      <c r="A831" s="2" t="str">
        <f t="shared" si="40"/>
        <v>Title of Course: ------------------------</v>
      </c>
      <c r="D831" s="1"/>
      <c r="E831" s="5" t="str">
        <f t="shared" si="41"/>
        <v>Course Code: -------------------------</v>
      </c>
      <c r="K831" s="1"/>
    </row>
    <row r="832" ht="15.75" customHeight="1" spans="1:11">
      <c r="A832" s="2" t="str">
        <f t="shared" si="40"/>
        <v>School Offering Course: ----------------------------</v>
      </c>
      <c r="D832" s="1"/>
      <c r="E832" s="5" t="str">
        <f t="shared" si="41"/>
        <v>Date: -----------------------------</v>
      </c>
      <c r="K832" s="1"/>
    </row>
    <row r="833" ht="15.75" customHeight="1" spans="1:11">
      <c r="A833" s="1"/>
      <c r="B833" s="2"/>
      <c r="C833" s="1"/>
      <c r="D833" s="5"/>
      <c r="E833" s="5"/>
      <c r="F833" s="5"/>
      <c r="G833" s="5"/>
      <c r="H833" s="5"/>
      <c r="I833" s="5"/>
      <c r="J833" s="5"/>
      <c r="K833" s="1"/>
    </row>
    <row r="834" ht="15.75" customHeight="1" spans="1:11">
      <c r="A834" s="6" t="s">
        <v>9</v>
      </c>
      <c r="B834" s="6" t="s">
        <v>10</v>
      </c>
      <c r="C834" s="6" t="s">
        <v>11</v>
      </c>
      <c r="D834" s="6" t="s">
        <v>12</v>
      </c>
      <c r="E834" s="6" t="s">
        <v>13</v>
      </c>
      <c r="F834" s="6" t="s">
        <v>14</v>
      </c>
      <c r="G834" s="6" t="s">
        <v>15</v>
      </c>
      <c r="H834" s="6" t="s">
        <v>16</v>
      </c>
      <c r="I834" s="6" t="s">
        <v>17</v>
      </c>
      <c r="J834" s="6" t="s">
        <v>18</v>
      </c>
      <c r="K834" s="1"/>
    </row>
    <row r="835" ht="15.75" customHeight="1" spans="1:11">
      <c r="A835" s="7">
        <v>561</v>
      </c>
      <c r="B835" s="43"/>
      <c r="C835" s="7"/>
      <c r="D835" s="7" t="str">
        <f>IF(D11="","",IF(H835="","",D11))</f>
        <v/>
      </c>
      <c r="E835" s="7"/>
      <c r="F835" s="7"/>
      <c r="G835" s="7"/>
      <c r="H835" s="10" t="str">
        <f>IF(AND(E835="",F835="",G835=""),"",IF(SUM(E835:G835)&gt;100,"ERROR",IF(AND(E10="TEST",SUM(E835:G835)&lt;=100),SUM(E835:G835),IF(AND(E10="*TEST",F835="",E835&lt;=30,G835&lt;=70),SUM(E835:G835),IF(AND(E10="*TEST",F835&lt;=20,E835&lt;=20,G835&lt;=60),SUM(E835:G835),IF(AND(E10="*TEST",F835="-",E835&lt;=20,G835&lt;=60),SUM(E835:G835),"ERROR"))))))</f>
        <v/>
      </c>
      <c r="I835" s="7" t="str">
        <f>IF(H835="ERROR","ERROR",IF(H835="","",IF(AND(F10="*LAB",F835="-"),"F",IF(H835&gt;69.5,"A",IF(H835&gt;59.5,"B",IF(H835&gt;49.5,"C",IF(AND(D10="*PROGRAM",H835&lt;49.5),"F",IF(H835&gt;44.5,"D",IF(H835&gt;39.5,"E","F")))))))))</f>
        <v/>
      </c>
      <c r="J835" s="7" t="str">
        <f t="shared" ref="J835:J874" si="42">IF(H835="ERROR","ERROR",IF(I835="","",IF(I835="F","FAIL","PASS")))</f>
        <v/>
      </c>
      <c r="K835" s="1"/>
    </row>
    <row r="836" ht="15.75" customHeight="1" spans="1:11">
      <c r="A836" s="7">
        <v>562</v>
      </c>
      <c r="B836" s="43"/>
      <c r="C836" s="7"/>
      <c r="D836" s="7" t="str">
        <f>IF(D11="","",IF(H836="","",D11))</f>
        <v/>
      </c>
      <c r="E836" s="7"/>
      <c r="F836" s="7"/>
      <c r="G836" s="7"/>
      <c r="H836" s="10" t="str">
        <f>IF(AND(E836="",F836="",G836=""),"",IF(SUM(E836:G836)&gt;100,"ERROR",IF(AND(E10="TEST",SUM(E836:G836)&lt;=100),SUM(E836:G836),IF(AND(E10="*TEST",F836="",E836&lt;=30,G836&lt;=70),SUM(E836:G836),IF(AND(E10="*TEST",F836&lt;=20,E836&lt;=20,G836&lt;=60),SUM(E836:G836),IF(AND(E10="*TEST",F836="-",E836&lt;=20,G836&lt;=60),SUM(E836:G836),"ERROR"))))))</f>
        <v/>
      </c>
      <c r="I836" s="7" t="str">
        <f>IF(H836="ERROR","ERROR",IF(H836="","",IF(AND(F10="*LAB",F836="-"),"F",IF(H836&gt;69.5,"A",IF(H836&gt;59.5,"B",IF(H836&gt;49.5,"C",IF(AND(D10="*PROGRAM",H836&lt;49.5),"F",IF(H836&gt;44.5,"D",IF(H836&gt;39.5,"E","F")))))))))</f>
        <v/>
      </c>
      <c r="J836" s="7" t="str">
        <f t="shared" si="42"/>
        <v/>
      </c>
      <c r="K836" s="1"/>
    </row>
    <row r="837" ht="15.75" customHeight="1" spans="1:11">
      <c r="A837" s="7">
        <v>563</v>
      </c>
      <c r="B837" s="43"/>
      <c r="C837" s="7"/>
      <c r="D837" s="7" t="str">
        <f>IF(D11="","",IF(H837="","",D11))</f>
        <v/>
      </c>
      <c r="E837" s="7"/>
      <c r="F837" s="7"/>
      <c r="G837" s="7"/>
      <c r="H837" s="10" t="str">
        <f>IF(AND(E837="",F837="",G837=""),"",IF(SUM(E837:G837)&gt;100,"ERROR",IF(AND(E10="TEST",SUM(E837:G837)&lt;=100),SUM(E837:G837),IF(AND(E10="*TEST",F837="",E837&lt;=30,G837&lt;=70),SUM(E837:G837),IF(AND(E10="*TEST",F837&lt;=20,E837&lt;=20,G837&lt;=60),SUM(E837:G837),IF(AND(E10="*TEST",F837="-",E837&lt;=20,G837&lt;=60),SUM(E837:G837),"ERROR"))))))</f>
        <v/>
      </c>
      <c r="I837" s="7" t="str">
        <f>IF(H837="ERROR","ERROR",IF(H837="","",IF(AND(F10="*LAB",F837="-"),"F",IF(H837&gt;69.5,"A",IF(H837&gt;59.5,"B",IF(H837&gt;49.5,"C",IF(AND(D10="*PROGRAM",H837&lt;49.5),"F",IF(H837&gt;44.5,"D",IF(H837&gt;39.5,"E","F")))))))))</f>
        <v/>
      </c>
      <c r="J837" s="7" t="str">
        <f t="shared" si="42"/>
        <v/>
      </c>
      <c r="K837" s="1"/>
    </row>
    <row r="838" ht="15.75" customHeight="1" spans="1:11">
      <c r="A838" s="7">
        <v>564</v>
      </c>
      <c r="B838" s="43"/>
      <c r="C838" s="7"/>
      <c r="D838" s="7" t="str">
        <f>IF(D11="","",IF(H838="","",D11))</f>
        <v/>
      </c>
      <c r="E838" s="7"/>
      <c r="F838" s="7"/>
      <c r="G838" s="7"/>
      <c r="H838" s="10" t="str">
        <f>IF(AND(E838="",F838="",G838=""),"",IF(SUM(E838:G838)&gt;100,"ERROR",IF(AND(E10="TEST",SUM(E838:G838)&lt;=100),SUM(E838:G838),IF(AND(E10="*TEST",F838="",E838&lt;=30,G838&lt;=70),SUM(E838:G838),IF(AND(E10="*TEST",F838&lt;=20,E838&lt;=20,G838&lt;=60),SUM(E838:G838),IF(AND(E10="*TEST",F838="-",E838&lt;=20,G838&lt;=60),SUM(E838:G838),"ERROR"))))))</f>
        <v/>
      </c>
      <c r="I838" s="7" t="str">
        <f>IF(H838="ERROR","ERROR",IF(H838="","",IF(AND(F10="*LAB",F838="-"),"F",IF(H838&gt;69.5,"A",IF(H838&gt;59.5,"B",IF(H838&gt;49.5,"C",IF(AND(D10="*PROGRAM",H838&lt;49.5),"F",IF(H838&gt;44.5,"D",IF(H838&gt;39.5,"E","F")))))))))</f>
        <v/>
      </c>
      <c r="J838" s="7" t="str">
        <f t="shared" si="42"/>
        <v/>
      </c>
      <c r="K838" s="1"/>
    </row>
    <row r="839" ht="15.75" customHeight="1" spans="1:11">
      <c r="A839" s="7">
        <v>565</v>
      </c>
      <c r="B839" s="43"/>
      <c r="C839" s="7"/>
      <c r="D839" s="7" t="str">
        <f>IF(D11="","",IF(H839="","",D11))</f>
        <v/>
      </c>
      <c r="E839" s="7"/>
      <c r="F839" s="7"/>
      <c r="G839" s="7"/>
      <c r="H839" s="10" t="str">
        <f>IF(AND(E839="",F839="",G839=""),"",IF(SUM(E839:G839)&gt;100,"ERROR",IF(AND(E10="TEST",SUM(E839:G839)&lt;=100),SUM(E839:G839),IF(AND(E10="*TEST",F839="",E839&lt;=30,G839&lt;=70),SUM(E839:G839),IF(AND(E10="*TEST",F839&lt;=20,E839&lt;=20,G839&lt;=60),SUM(E839:G839),IF(AND(E10="*TEST",F839="-",E839&lt;=20,G839&lt;=60),SUM(E839:G839),"ERROR"))))))</f>
        <v/>
      </c>
      <c r="I839" s="7" t="str">
        <f>IF(H839="ERROR","ERROR",IF(H839="","",IF(AND(F10="*LAB",F839="-"),"F",IF(H839&gt;69.5,"A",IF(H839&gt;59.5,"B",IF(H839&gt;49.5,"C",IF(AND(D10="*PROGRAM",H839&lt;49.5),"F",IF(H839&gt;44.5,"D",IF(H839&gt;39.5,"E","F")))))))))</f>
        <v/>
      </c>
      <c r="J839" s="7" t="str">
        <f t="shared" si="42"/>
        <v/>
      </c>
      <c r="K839" s="1"/>
    </row>
    <row r="840" ht="15.75" customHeight="1" spans="1:11">
      <c r="A840" s="7">
        <v>566</v>
      </c>
      <c r="B840" s="43"/>
      <c r="C840" s="7"/>
      <c r="D840" s="7" t="str">
        <f>IF(D11="","",IF(H840="","",D11))</f>
        <v/>
      </c>
      <c r="E840" s="7"/>
      <c r="F840" s="7"/>
      <c r="G840" s="7"/>
      <c r="H840" s="10" t="str">
        <f>IF(AND(E840="",F840="",G840=""),"",IF(SUM(E840:G840)&gt;100,"ERROR",IF(AND(E10="TEST",SUM(E840:G840)&lt;=100),SUM(E840:G840),IF(AND(E10="*TEST",F840="",E840&lt;=30,G840&lt;=70),SUM(E840:G840),IF(AND(E10="*TEST",F840&lt;=20,E840&lt;=20,G840&lt;=60),SUM(E840:G840),IF(AND(E10="*TEST",F840="-",E840&lt;=20,G840&lt;=60),SUM(E840:G840),"ERROR"))))))</f>
        <v/>
      </c>
      <c r="I840" s="7" t="str">
        <f>IF(H840="ERROR","ERROR",IF(H840="","",IF(AND(F10="*LAB",F840="-"),"F",IF(H840&gt;69.5,"A",IF(H840&gt;59.5,"B",IF(H840&gt;49.5,"C",IF(AND(D10="*PROGRAM",H840&lt;49.5),"F",IF(H840&gt;44.5,"D",IF(H840&gt;39.5,"E","F")))))))))</f>
        <v/>
      </c>
      <c r="J840" s="7" t="str">
        <f t="shared" si="42"/>
        <v/>
      </c>
      <c r="K840" s="1"/>
    </row>
    <row r="841" ht="15.75" customHeight="1" spans="1:11">
      <c r="A841" s="7">
        <v>567</v>
      </c>
      <c r="B841" s="43"/>
      <c r="C841" s="7"/>
      <c r="D841" s="7" t="str">
        <f>IF(D11="","",IF(H841="","",D11))</f>
        <v/>
      </c>
      <c r="E841" s="7"/>
      <c r="F841" s="7"/>
      <c r="G841" s="7"/>
      <c r="H841" s="10" t="str">
        <f>IF(AND(E841="",F841="",G841=""),"",IF(SUM(E841:G841)&gt;100,"ERROR",IF(AND(E10="TEST",SUM(E841:G841)&lt;=100),SUM(E841:G841),IF(AND(E10="*TEST",F841="",E841&lt;=30,G841&lt;=70),SUM(E841:G841),IF(AND(E10="*TEST",F841&lt;=20,E841&lt;=20,G841&lt;=60),SUM(E841:G841),IF(AND(E10="*TEST",F841="-",E841&lt;=20,G841&lt;=60),SUM(E841:G841),"ERROR"))))))</f>
        <v/>
      </c>
      <c r="I841" s="7" t="str">
        <f>IF(H841="ERROR","ERROR",IF(H841="","",IF(AND(F10="*LAB",F841="-"),"F",IF(H841&gt;69.5,"A",IF(H841&gt;59.5,"B",IF(H841&gt;49.5,"C",IF(AND(D10="*PROGRAM",H841&lt;49.5),"F",IF(H841&gt;44.5,"D",IF(H841&gt;39.5,"E","F")))))))))</f>
        <v/>
      </c>
      <c r="J841" s="7" t="str">
        <f t="shared" si="42"/>
        <v/>
      </c>
      <c r="K841" s="1"/>
    </row>
    <row r="842" ht="15.75" customHeight="1" spans="1:11">
      <c r="A842" s="7">
        <v>568</v>
      </c>
      <c r="B842" s="43"/>
      <c r="C842" s="7"/>
      <c r="D842" s="7" t="str">
        <f>IF(D11="","",IF(H842="","",D11))</f>
        <v/>
      </c>
      <c r="E842" s="7"/>
      <c r="F842" s="7"/>
      <c r="G842" s="7"/>
      <c r="H842" s="10" t="str">
        <f>IF(AND(E842="",F842="",G842=""),"",IF(SUM(E842:G842)&gt;100,"ERROR",IF(AND(E10="TEST",SUM(E842:G842)&lt;=100),SUM(E842:G842),IF(AND(E10="*TEST",F842="",E842&lt;=30,G842&lt;=70),SUM(E842:G842),IF(AND(E10="*TEST",F842&lt;=20,E842&lt;=20,G842&lt;=60),SUM(E842:G842),IF(AND(E10="*TEST",F842="-",E842&lt;=20,G842&lt;=60),SUM(E842:G842),"ERROR"))))))</f>
        <v/>
      </c>
      <c r="I842" s="7" t="str">
        <f>IF(H842="ERROR","ERROR",IF(H842="","",IF(AND(F10="*LAB",F842="-"),"F",IF(H842&gt;69.5,"A",IF(H842&gt;59.5,"B",IF(H842&gt;49.5,"C",IF(AND(D10="*PROGRAM",H842&lt;49.5),"F",IF(H842&gt;44.5,"D",IF(H842&gt;39.5,"E","F")))))))))</f>
        <v/>
      </c>
      <c r="J842" s="7" t="str">
        <f t="shared" si="42"/>
        <v/>
      </c>
      <c r="K842" s="1"/>
    </row>
    <row r="843" ht="15.75" customHeight="1" spans="1:11">
      <c r="A843" s="7">
        <v>569</v>
      </c>
      <c r="B843" s="43"/>
      <c r="C843" s="7"/>
      <c r="D843" s="7" t="str">
        <f>IF(D11="","",IF(H843="","",D11))</f>
        <v/>
      </c>
      <c r="E843" s="7"/>
      <c r="F843" s="7"/>
      <c r="G843" s="7"/>
      <c r="H843" s="10" t="str">
        <f>IF(AND(E843="",F843="",G843=""),"",IF(SUM(E843:G843)&gt;100,"ERROR",IF(AND(E10="TEST",SUM(E843:G843)&lt;=100),SUM(E843:G843),IF(AND(E10="*TEST",F843="",E843&lt;=30,G843&lt;=70),SUM(E843:G843),IF(AND(E10="*TEST",F843&lt;=20,E843&lt;=20,G843&lt;=60),SUM(E843:G843),IF(AND(E10="*TEST",F843="-",E843&lt;=20,G843&lt;=60),SUM(E843:G843),"ERROR"))))))</f>
        <v/>
      </c>
      <c r="I843" s="7" t="str">
        <f>IF(H843="ERROR","ERROR",IF(H843="","",IF(AND(F10="*LAB",F843="-"),"F",IF(H843&gt;69.5,"A",IF(H843&gt;59.5,"B",IF(H843&gt;49.5,"C",IF(AND(D10="*PROGRAM",H843&lt;49.5),"F",IF(H843&gt;44.5,"D",IF(H843&gt;39.5,"E","F")))))))))</f>
        <v/>
      </c>
      <c r="J843" s="7" t="str">
        <f t="shared" si="42"/>
        <v/>
      </c>
      <c r="K843" s="1"/>
    </row>
    <row r="844" ht="15.75" customHeight="1" spans="1:11">
      <c r="A844" s="7">
        <v>570</v>
      </c>
      <c r="B844" s="43"/>
      <c r="C844" s="7"/>
      <c r="D844" s="7" t="str">
        <f>IF(D11="","",IF(H844="","",D11))</f>
        <v/>
      </c>
      <c r="E844" s="7"/>
      <c r="F844" s="7"/>
      <c r="G844" s="7"/>
      <c r="H844" s="10" t="str">
        <f>IF(AND(E844="",F844="",G844=""),"",IF(SUM(E844:G844)&gt;100,"ERROR",IF(AND(E10="TEST",SUM(E844:G844)&lt;=100),SUM(E844:G844),IF(AND(E10="*TEST",F844="",E844&lt;=30,G844&lt;=70),SUM(E844:G844),IF(AND(E10="*TEST",F844&lt;=20,E844&lt;=20,G844&lt;=60),SUM(E844:G844),IF(AND(E10="*TEST",F844="-",E844&lt;=20,G844&lt;=60),SUM(E844:G844),"ERROR"))))))</f>
        <v/>
      </c>
      <c r="I844" s="7" t="str">
        <f>IF(H844="ERROR","ERROR",IF(H844="","",IF(AND(F10="*LAB",F844="-"),"F",IF(H844&gt;69.5,"A",IF(H844&gt;59.5,"B",IF(H844&gt;49.5,"C",IF(AND(D10="*PROGRAM",H844&lt;49.5),"F",IF(H844&gt;44.5,"D",IF(H844&gt;39.5,"E","F")))))))))</f>
        <v/>
      </c>
      <c r="J844" s="7" t="str">
        <f t="shared" si="42"/>
        <v/>
      </c>
      <c r="K844" s="1"/>
    </row>
    <row r="845" ht="15.75" customHeight="1" spans="1:11">
      <c r="A845" s="7">
        <v>571</v>
      </c>
      <c r="B845" s="43"/>
      <c r="C845" s="7"/>
      <c r="D845" s="7" t="str">
        <f>IF(D11="","",IF(H845="","",D11))</f>
        <v/>
      </c>
      <c r="E845" s="7"/>
      <c r="F845" s="7"/>
      <c r="G845" s="7"/>
      <c r="H845" s="10" t="str">
        <f>IF(AND(E845="",F845="",G845=""),"",IF(SUM(E845:G845)&gt;100,"ERROR",IF(AND(E10="TEST",SUM(E845:G845)&lt;=100),SUM(E845:G845),IF(AND(E10="*TEST",F845="",E845&lt;=30,G845&lt;=70),SUM(E845:G845),IF(AND(E10="*TEST",F845&lt;=20,E845&lt;=20,G845&lt;=60),SUM(E845:G845),IF(AND(E10="*TEST",F845="-",E845&lt;=20,G845&lt;=60),SUM(E845:G845),"ERROR"))))))</f>
        <v/>
      </c>
      <c r="I845" s="7" t="str">
        <f>IF(H845="ERROR","ERROR",IF(H845="","",IF(AND(F10="*LAB",F845="-"),"F",IF(H845&gt;69.5,"A",IF(H845&gt;59.5,"B",IF(H845&gt;49.5,"C",IF(AND(D10="*PROGRAM",H845&lt;49.5),"F",IF(H845&gt;44.5,"D",IF(H845&gt;39.5,"E","F")))))))))</f>
        <v/>
      </c>
      <c r="J845" s="7" t="str">
        <f t="shared" si="42"/>
        <v/>
      </c>
      <c r="K845" s="1"/>
    </row>
    <row r="846" ht="15.75" customHeight="1" spans="1:11">
      <c r="A846" s="7">
        <v>572</v>
      </c>
      <c r="B846" s="43"/>
      <c r="C846" s="7"/>
      <c r="D846" s="7" t="str">
        <f>IF(D11="","",IF(H846="","",D11))</f>
        <v/>
      </c>
      <c r="E846" s="7"/>
      <c r="F846" s="7"/>
      <c r="G846" s="7"/>
      <c r="H846" s="10" t="str">
        <f>IF(AND(E846="",F846="",G846=""),"",IF(SUM(E846:G846)&gt;100,"ERROR",IF(AND(E10="TEST",SUM(E846:G846)&lt;=100),SUM(E846:G846),IF(AND(E10="*TEST",F846="",E846&lt;=30,G846&lt;=70),SUM(E846:G846),IF(AND(E10="*TEST",F846&lt;=20,E846&lt;=20,G846&lt;=60),SUM(E846:G846),IF(AND(E10="*TEST",F846="-",E846&lt;=20,G846&lt;=60),SUM(E846:G846),"ERROR"))))))</f>
        <v/>
      </c>
      <c r="I846" s="7" t="str">
        <f>IF(H846="ERROR","ERROR",IF(H846="","",IF(AND(F10="*LAB",F846="-"),"F",IF(H846&gt;69.5,"A",IF(H846&gt;59.5,"B",IF(H846&gt;49.5,"C",IF(AND(D10="*PROGRAM",H846&lt;49.5),"F",IF(H846&gt;44.5,"D",IF(H846&gt;39.5,"E","F")))))))))</f>
        <v/>
      </c>
      <c r="J846" s="7" t="str">
        <f t="shared" si="42"/>
        <v/>
      </c>
      <c r="K846" s="1"/>
    </row>
    <row r="847" ht="15.75" customHeight="1" spans="1:11">
      <c r="A847" s="7">
        <v>573</v>
      </c>
      <c r="B847" s="43"/>
      <c r="C847" s="7"/>
      <c r="D847" s="7" t="str">
        <f>IF(D11="","",IF(H847="","",D11))</f>
        <v/>
      </c>
      <c r="E847" s="7"/>
      <c r="F847" s="7"/>
      <c r="G847" s="7"/>
      <c r="H847" s="10" t="str">
        <f>IF(AND(E847="",F847="",G847=""),"",IF(SUM(E847:G847)&gt;100,"ERROR",IF(AND(E10="TEST",SUM(E847:G847)&lt;=100),SUM(E847:G847),IF(AND(E10="*TEST",F847="",E847&lt;=30,G847&lt;=70),SUM(E847:G847),IF(AND(E10="*TEST",F847&lt;=20,E847&lt;=20,G847&lt;=60),SUM(E847:G847),IF(AND(E10="*TEST",F847="-",E847&lt;=20,G847&lt;=60),SUM(E847:G847),"ERROR"))))))</f>
        <v/>
      </c>
      <c r="I847" s="7" t="str">
        <f>IF(H847="ERROR","ERROR",IF(H847="","",IF(AND(F10="*LAB",F847="-"),"F",IF(H847&gt;69.5,"A",IF(H847&gt;59.5,"B",IF(H847&gt;49.5,"C",IF(AND(D10="*PROGRAM",H847&lt;49.5),"F",IF(H847&gt;44.5,"D",IF(H847&gt;39.5,"E","F")))))))))</f>
        <v/>
      </c>
      <c r="J847" s="7" t="str">
        <f t="shared" si="42"/>
        <v/>
      </c>
      <c r="K847" s="1"/>
    </row>
    <row r="848" ht="15.75" customHeight="1" spans="1:11">
      <c r="A848" s="7">
        <v>574</v>
      </c>
      <c r="B848" s="43"/>
      <c r="C848" s="7"/>
      <c r="D848" s="7" t="str">
        <f>IF(D11="","",IF(H848="","",D11))</f>
        <v/>
      </c>
      <c r="E848" s="7"/>
      <c r="F848" s="7"/>
      <c r="G848" s="7"/>
      <c r="H848" s="10" t="str">
        <f>IF(AND(E848="",F848="",G848=""),"",IF(SUM(E848:G848)&gt;100,"ERROR",IF(AND(E10="TEST",SUM(E848:G848)&lt;=100),SUM(E848:G848),IF(AND(E10="*TEST",F848="",E848&lt;=30,G848&lt;=70),SUM(E848:G848),IF(AND(E10="*TEST",F848&lt;=20,E848&lt;=20,G848&lt;=60),SUM(E848:G848),IF(AND(E10="*TEST",F848="-",E848&lt;=20,G848&lt;=60),SUM(E848:G848),"ERROR"))))))</f>
        <v/>
      </c>
      <c r="I848" s="7" t="str">
        <f>IF(H848="ERROR","ERROR",IF(H848="","",IF(AND(F10="*LAB",F848="-"),"F",IF(H848&gt;69.5,"A",IF(H848&gt;59.5,"B",IF(H848&gt;49.5,"C",IF(AND(D10="*PROGRAM",H848&lt;49.5),"F",IF(H848&gt;44.5,"D",IF(H848&gt;39.5,"E","F")))))))))</f>
        <v/>
      </c>
      <c r="J848" s="7" t="str">
        <f t="shared" si="42"/>
        <v/>
      </c>
      <c r="K848" s="1"/>
    </row>
    <row r="849" ht="15.75" customHeight="1" spans="1:11">
      <c r="A849" s="7">
        <v>575</v>
      </c>
      <c r="B849" s="43"/>
      <c r="C849" s="7"/>
      <c r="D849" s="7" t="str">
        <f>IF(D11="","",IF(H849="","",D11))</f>
        <v/>
      </c>
      <c r="E849" s="7"/>
      <c r="F849" s="7"/>
      <c r="G849" s="7"/>
      <c r="H849" s="10" t="str">
        <f>IF(AND(E849="",F849="",G849=""),"",IF(SUM(E849:G849)&gt;100,"ERROR",IF(AND(E10="TEST",SUM(E849:G849)&lt;=100),SUM(E849:G849),IF(AND(E10="*TEST",F849="",E849&lt;=30,G849&lt;=70),SUM(E849:G849),IF(AND(E10="*TEST",F849&lt;=20,E849&lt;=20,G849&lt;=60),SUM(E849:G849),IF(AND(E10="*TEST",F849="-",E849&lt;=20,G849&lt;=60),SUM(E849:G849),"ERROR"))))))</f>
        <v/>
      </c>
      <c r="I849" s="7" t="str">
        <f>IF(H849="ERROR","ERROR",IF(H849="","",IF(AND(F10="*LAB",F849="-"),"F",IF(H849&gt;69.5,"A",IF(H849&gt;59.5,"B",IF(H849&gt;49.5,"C",IF(AND(D10="*PROGRAM",H849&lt;49.5),"F",IF(H849&gt;44.5,"D",IF(H849&gt;39.5,"E","F")))))))))</f>
        <v/>
      </c>
      <c r="J849" s="7" t="str">
        <f t="shared" si="42"/>
        <v/>
      </c>
      <c r="K849" s="1"/>
    </row>
    <row r="850" ht="15.75" customHeight="1" spans="1:11">
      <c r="A850" s="7">
        <v>576</v>
      </c>
      <c r="B850" s="43"/>
      <c r="C850" s="7"/>
      <c r="D850" s="7" t="str">
        <f>IF(D11="","",IF(H850="","",D11))</f>
        <v/>
      </c>
      <c r="E850" s="7"/>
      <c r="F850" s="7"/>
      <c r="G850" s="7"/>
      <c r="H850" s="10" t="str">
        <f>IF(AND(E850="",F850="",G850=""),"",IF(SUM(E850:G850)&gt;100,"ERROR",IF(AND(E10="TEST",SUM(E850:G850)&lt;=100),SUM(E850:G850),IF(AND(E10="*TEST",F850="",E850&lt;=30,G850&lt;=70),SUM(E850:G850),IF(AND(E10="*TEST",F850&lt;=20,E850&lt;=20,G850&lt;=60),SUM(E850:G850),IF(AND(E10="*TEST",F850="-",E850&lt;=20,G850&lt;=60),SUM(E850:G850),"ERROR"))))))</f>
        <v/>
      </c>
      <c r="I850" s="7" t="str">
        <f>IF(H850="ERROR","ERROR",IF(H850="","",IF(AND(F10="*LAB",F850="-"),"F",IF(H850&gt;69.5,"A",IF(H850&gt;59.5,"B",IF(H850&gt;49.5,"C",IF(AND(D10="*PROGRAM",H850&lt;49.5),"F",IF(H850&gt;44.5,"D",IF(H850&gt;39.5,"E","F")))))))))</f>
        <v/>
      </c>
      <c r="J850" s="7" t="str">
        <f t="shared" si="42"/>
        <v/>
      </c>
      <c r="K850" s="1"/>
    </row>
    <row r="851" ht="15.75" customHeight="1" spans="1:11">
      <c r="A851" s="7">
        <v>577</v>
      </c>
      <c r="B851" s="43"/>
      <c r="C851" s="7"/>
      <c r="D851" s="7" t="str">
        <f>IF(D11="","",IF(H851="","",D11))</f>
        <v/>
      </c>
      <c r="E851" s="7"/>
      <c r="F851" s="7"/>
      <c r="G851" s="7"/>
      <c r="H851" s="10" t="str">
        <f>IF(AND(E851="",F851="",G851=""),"",IF(SUM(E851:G851)&gt;100,"ERROR",IF(AND(E10="TEST",SUM(E851:G851)&lt;=100),SUM(E851:G851),IF(AND(E10="*TEST",F851="",E851&lt;=30,G851&lt;=70),SUM(E851:G851),IF(AND(E10="*TEST",F851&lt;=20,E851&lt;=20,G851&lt;=60),SUM(E851:G851),IF(AND(E10="*TEST",F851="-",E851&lt;=20,G851&lt;=60),SUM(E851:G851),"ERROR"))))))</f>
        <v/>
      </c>
      <c r="I851" s="7" t="str">
        <f>IF(H851="ERROR","ERROR",IF(H851="","",IF(AND(F10="*LAB",F851="-"),"F",IF(H851&gt;69.5,"A",IF(H851&gt;59.5,"B",IF(H851&gt;49.5,"C",IF(AND(D10="*PROGRAM",H851&lt;49.5),"F",IF(H851&gt;44.5,"D",IF(H851&gt;39.5,"E","F")))))))))</f>
        <v/>
      </c>
      <c r="J851" s="7" t="str">
        <f t="shared" si="42"/>
        <v/>
      </c>
      <c r="K851" s="1"/>
    </row>
    <row r="852" ht="15.75" customHeight="1" spans="1:11">
      <c r="A852" s="7">
        <v>578</v>
      </c>
      <c r="B852" s="43"/>
      <c r="C852" s="7"/>
      <c r="D852" s="7" t="str">
        <f>IF(D11="","",IF(H852="","",D11))</f>
        <v/>
      </c>
      <c r="E852" s="7"/>
      <c r="F852" s="7"/>
      <c r="G852" s="7"/>
      <c r="H852" s="10" t="str">
        <f>IF(AND(E852="",F852="",G852=""),"",IF(SUM(E852:G852)&gt;100,"ERROR",IF(AND(E10="TEST",SUM(E852:G852)&lt;=100),SUM(E852:G852),IF(AND(E10="*TEST",F852="",E852&lt;=30,G852&lt;=70),SUM(E852:G852),IF(AND(E10="*TEST",F852&lt;=20,E852&lt;=20,G852&lt;=60),SUM(E852:G852),IF(AND(E10="*TEST",F852="-",E852&lt;=20,G852&lt;=60),SUM(E852:G852),"ERROR"))))))</f>
        <v/>
      </c>
      <c r="I852" s="7" t="str">
        <f>IF(H852="ERROR","ERROR",IF(H852="","",IF(AND(F10="*LAB",F852="-"),"F",IF(H852&gt;69.5,"A",IF(H852&gt;59.5,"B",IF(H852&gt;49.5,"C",IF(AND(D10="*PROGRAM",H852&lt;49.5),"F",IF(H852&gt;44.5,"D",IF(H852&gt;39.5,"E","F")))))))))</f>
        <v/>
      </c>
      <c r="J852" s="7" t="str">
        <f t="shared" si="42"/>
        <v/>
      </c>
      <c r="K852" s="1"/>
    </row>
    <row r="853" ht="15.75" customHeight="1" spans="1:11">
      <c r="A853" s="7">
        <v>579</v>
      </c>
      <c r="B853" s="43"/>
      <c r="C853" s="7"/>
      <c r="D853" s="7" t="str">
        <f>IF(D11="","",IF(H853="","",D11))</f>
        <v/>
      </c>
      <c r="E853" s="7"/>
      <c r="F853" s="7"/>
      <c r="G853" s="7"/>
      <c r="H853" s="10" t="str">
        <f>IF(AND(E853="",F853="",G853=""),"",IF(SUM(E853:G853)&gt;100,"ERROR",IF(AND(E10="TEST",SUM(E853:G853)&lt;=100),SUM(E853:G853),IF(AND(E10="*TEST",F853="",E853&lt;=30,G853&lt;=70),SUM(E853:G853),IF(AND(E10="*TEST",F853&lt;=20,E853&lt;=20,G853&lt;=60),SUM(E853:G853),IF(AND(E10="*TEST",F853="-",E853&lt;=20,G853&lt;=60),SUM(E853:G853),"ERROR"))))))</f>
        <v/>
      </c>
      <c r="I853" s="7" t="str">
        <f>IF(H853="ERROR","ERROR",IF(H853="","",IF(AND(F10="*LAB",F853="-"),"F",IF(H853&gt;69.5,"A",IF(H853&gt;59.5,"B",IF(H853&gt;49.5,"C",IF(AND(D10="*PROGRAM",H853&lt;49.5),"F",IF(H853&gt;44.5,"D",IF(H853&gt;39.5,"E","F")))))))))</f>
        <v/>
      </c>
      <c r="J853" s="7" t="str">
        <f t="shared" si="42"/>
        <v/>
      </c>
      <c r="K853" s="1"/>
    </row>
    <row r="854" ht="15.75" customHeight="1" spans="1:11">
      <c r="A854" s="7">
        <v>580</v>
      </c>
      <c r="B854" s="43"/>
      <c r="C854" s="7"/>
      <c r="D854" s="7" t="str">
        <f>IF(D11="","",IF(H854="","",D11))</f>
        <v/>
      </c>
      <c r="E854" s="7"/>
      <c r="F854" s="7"/>
      <c r="G854" s="7"/>
      <c r="H854" s="10" t="str">
        <f>IF(AND(E854="",F854="",G854=""),"",IF(SUM(E854:G854)&gt;100,"ERROR",IF(AND(E10="TEST",SUM(E854:G854)&lt;=100),SUM(E854:G854),IF(AND(E10="*TEST",F854="",E854&lt;=30,G854&lt;=70),SUM(E854:G854),IF(AND(E10="*TEST",F854&lt;=20,E854&lt;=20,G854&lt;=60),SUM(E854:G854),IF(AND(E10="*TEST",F854="-",E854&lt;=20,G854&lt;=60),SUM(E854:G854),"ERROR"))))))</f>
        <v/>
      </c>
      <c r="I854" s="7" t="str">
        <f>IF(H854="ERROR","ERROR",IF(H854="","",IF(AND(F10="*LAB",F854="-"),"F",IF(H854&gt;69.5,"A",IF(H854&gt;59.5,"B",IF(H854&gt;49.5,"C",IF(AND(D10="*PROGRAM",H854&lt;49.5),"F",IF(H854&gt;44.5,"D",IF(H854&gt;39.5,"E","F")))))))))</f>
        <v/>
      </c>
      <c r="J854" s="7" t="str">
        <f t="shared" si="42"/>
        <v/>
      </c>
      <c r="K854" s="1"/>
    </row>
    <row r="855" ht="15.75" customHeight="1" spans="1:11">
      <c r="A855" s="7">
        <v>581</v>
      </c>
      <c r="B855" s="43"/>
      <c r="C855" s="7"/>
      <c r="D855" s="7" t="str">
        <f>IF(D11="","",IF(H855="","",D11))</f>
        <v/>
      </c>
      <c r="E855" s="7"/>
      <c r="F855" s="7"/>
      <c r="G855" s="7"/>
      <c r="H855" s="10" t="str">
        <f>IF(AND(E855="",F855="",G855=""),"",IF(SUM(E855:G855)&gt;100,"ERROR",IF(AND(E10="TEST",SUM(E855:G855)&lt;=100),SUM(E855:G855),IF(AND(E10="*TEST",F855="",E855&lt;=30,G855&lt;=70),SUM(E855:G855),IF(AND(E10="*TEST",F855&lt;=20,E855&lt;=20,G855&lt;=60),SUM(E855:G855),IF(AND(E10="*TEST",F855="-",E855&lt;=20,G855&lt;=60),SUM(E855:G855),"ERROR"))))))</f>
        <v/>
      </c>
      <c r="I855" s="7" t="str">
        <f>IF(H855="ERROR","ERROR",IF(H855="","",IF(AND(F10="*LAB",F855="-"),"F",IF(H855&gt;69.5,"A",IF(H855&gt;59.5,"B",IF(H855&gt;49.5,"C",IF(AND(D10="*PROGRAM",H855&lt;49.5),"F",IF(H855&gt;44.5,"D",IF(H855&gt;39.5,"E","F")))))))))</f>
        <v/>
      </c>
      <c r="J855" s="7" t="str">
        <f t="shared" si="42"/>
        <v/>
      </c>
      <c r="K855" s="1"/>
    </row>
    <row r="856" ht="15.75" customHeight="1" spans="1:11">
      <c r="A856" s="7">
        <v>582</v>
      </c>
      <c r="B856" s="43"/>
      <c r="C856" s="7"/>
      <c r="D856" s="7" t="str">
        <f>IF(D11="","",IF(H856="","",D11))</f>
        <v/>
      </c>
      <c r="E856" s="7"/>
      <c r="F856" s="7"/>
      <c r="G856" s="7"/>
      <c r="H856" s="10" t="str">
        <f>IF(AND(E856="",F856="",G856=""),"",IF(SUM(E856:G856)&gt;100,"ERROR",IF(AND(E10="TEST",SUM(E856:G856)&lt;=100),SUM(E856:G856),IF(AND(E10="*TEST",F856="",E856&lt;=30,G856&lt;=70),SUM(E856:G856),IF(AND(E10="*TEST",F856&lt;=20,E856&lt;=20,G856&lt;=60),SUM(E856:G856),IF(AND(E10="*TEST",F856="-",E856&lt;=20,G856&lt;=60),SUM(E856:G856),"ERROR"))))))</f>
        <v/>
      </c>
      <c r="I856" s="7" t="str">
        <f>IF(H856="ERROR","ERROR",IF(H856="","",IF(AND(F10="*LAB",F856="-"),"F",IF(H856&gt;69.5,"A",IF(H856&gt;59.5,"B",IF(H856&gt;49.5,"C",IF(AND(D10="*PROGRAM",H856&lt;49.5),"F",IF(H856&gt;44.5,"D",IF(H856&gt;39.5,"E","F")))))))))</f>
        <v/>
      </c>
      <c r="J856" s="7" t="str">
        <f t="shared" si="42"/>
        <v/>
      </c>
      <c r="K856" s="1"/>
    </row>
    <row r="857" ht="15.75" customHeight="1" spans="1:11">
      <c r="A857" s="7">
        <v>583</v>
      </c>
      <c r="B857" s="43"/>
      <c r="C857" s="7"/>
      <c r="D857" s="7" t="str">
        <f>IF(D11="","",IF(H857="","",D11))</f>
        <v/>
      </c>
      <c r="E857" s="7"/>
      <c r="F857" s="7"/>
      <c r="G857" s="7"/>
      <c r="H857" s="10" t="str">
        <f>IF(AND(E857="",F857="",G857=""),"",IF(SUM(E857:G857)&gt;100,"ERROR",IF(AND(E10="TEST",SUM(E857:G857)&lt;=100),SUM(E857:G857),IF(AND(E10="*TEST",F857="",E857&lt;=30,G857&lt;=70),SUM(E857:G857),IF(AND(E10="*TEST",F857&lt;=20,E857&lt;=20,G857&lt;=60),SUM(E857:G857),IF(AND(E10="*TEST",F857="-",E857&lt;=20,G857&lt;=60),SUM(E857:G857),"ERROR"))))))</f>
        <v/>
      </c>
      <c r="I857" s="7" t="str">
        <f>IF(H857="ERROR","ERROR",IF(H857="","",IF(AND(F10="*LAB",F857="-"),"F",IF(H857&gt;69.5,"A",IF(H857&gt;59.5,"B",IF(H857&gt;49.5,"C",IF(AND(D10="*PROGRAM",H857&lt;49.5),"F",IF(H857&gt;44.5,"D",IF(H857&gt;39.5,"E","F")))))))))</f>
        <v/>
      </c>
      <c r="J857" s="7" t="str">
        <f t="shared" si="42"/>
        <v/>
      </c>
      <c r="K857" s="1"/>
    </row>
    <row r="858" ht="15.75" customHeight="1" spans="1:11">
      <c r="A858" s="7">
        <v>584</v>
      </c>
      <c r="B858" s="43"/>
      <c r="C858" s="7"/>
      <c r="D858" s="7" t="str">
        <f>IF(D11="","",IF(H858="","",D11))</f>
        <v/>
      </c>
      <c r="E858" s="7"/>
      <c r="F858" s="7"/>
      <c r="G858" s="7"/>
      <c r="H858" s="10" t="str">
        <f>IF(AND(E858="",F858="",G858=""),"",IF(SUM(E858:G858)&gt;100,"ERROR",IF(AND(E10="TEST",SUM(E858:G858)&lt;=100),SUM(E858:G858),IF(AND(E10="*TEST",F858="",E858&lt;=30,G858&lt;=70),SUM(E858:G858),IF(AND(E10="*TEST",F858&lt;=20,E858&lt;=20,G858&lt;=60),SUM(E858:G858),IF(AND(E10="*TEST",F858="-",E858&lt;=20,G858&lt;=60),SUM(E858:G858),"ERROR"))))))</f>
        <v/>
      </c>
      <c r="I858" s="7" t="str">
        <f>IF(H858="ERROR","ERROR",IF(H858="","",IF(AND(F10="*LAB",F858="-"),"F",IF(H858&gt;69.5,"A",IF(H858&gt;59.5,"B",IF(H858&gt;49.5,"C",IF(AND(D10="*PROGRAM",H858&lt;49.5),"F",IF(H858&gt;44.5,"D",IF(H858&gt;39.5,"E","F")))))))))</f>
        <v/>
      </c>
      <c r="J858" s="7" t="str">
        <f t="shared" si="42"/>
        <v/>
      </c>
      <c r="K858" s="1"/>
    </row>
    <row r="859" ht="15.75" customHeight="1" spans="1:11">
      <c r="A859" s="7">
        <v>585</v>
      </c>
      <c r="B859" s="43"/>
      <c r="C859" s="7"/>
      <c r="D859" s="7" t="str">
        <f>IF(D11="","",IF(H859="","",D11))</f>
        <v/>
      </c>
      <c r="E859" s="7"/>
      <c r="F859" s="7"/>
      <c r="G859" s="7"/>
      <c r="H859" s="10" t="str">
        <f>IF(AND(E859="",F859="",G859=""),"",IF(SUM(E859:G859)&gt;100,"ERROR",IF(AND(E10="TEST",SUM(E859:G859)&lt;=100),SUM(E859:G859),IF(AND(E10="*TEST",F859="",E859&lt;=30,G859&lt;=70),SUM(E859:G859),IF(AND(E10="*TEST",F859&lt;=20,E859&lt;=20,G859&lt;=60),SUM(E859:G859),IF(AND(E10="*TEST",F859="-",E859&lt;=20,G859&lt;=60),SUM(E859:G859),"ERROR"))))))</f>
        <v/>
      </c>
      <c r="I859" s="7" t="str">
        <f>IF(H859="ERROR","ERROR",IF(H859="","",IF(AND(F10="*LAB",F859="-"),"F",IF(H859&gt;69.5,"A",IF(H859&gt;59.5,"B",IF(H859&gt;49.5,"C",IF(AND(D10="*PROGRAM",H859&lt;49.5),"F",IF(H859&gt;44.5,"D",IF(H859&gt;39.5,"E","F")))))))))</f>
        <v/>
      </c>
      <c r="J859" s="7" t="str">
        <f t="shared" si="42"/>
        <v/>
      </c>
      <c r="K859" s="1"/>
    </row>
    <row r="860" ht="15.75" customHeight="1" spans="1:11">
      <c r="A860" s="7">
        <v>586</v>
      </c>
      <c r="B860" s="43"/>
      <c r="C860" s="7"/>
      <c r="D860" s="7" t="str">
        <f>IF(D11="","",IF(H860="","",D11))</f>
        <v/>
      </c>
      <c r="E860" s="7"/>
      <c r="F860" s="7"/>
      <c r="G860" s="7"/>
      <c r="H860" s="10" t="str">
        <f>IF(AND(E860="",F860="",G860=""),"",IF(SUM(E860:G860)&gt;100,"ERROR",IF(AND(E10="TEST",SUM(E860:G860)&lt;=100),SUM(E860:G860),IF(AND(E10="*TEST",F860="",E860&lt;=30,G860&lt;=70),SUM(E860:G860),IF(AND(E10="*TEST",F860&lt;=20,E860&lt;=20,G860&lt;=60),SUM(E860:G860),IF(AND(E10="*TEST",F860="-",E860&lt;=20,G860&lt;=60),SUM(E860:G860),"ERROR"))))))</f>
        <v/>
      </c>
      <c r="I860" s="7" t="str">
        <f>IF(H860="ERROR","ERROR",IF(H860="","",IF(AND(F10="*LAB",F860="-"),"F",IF(H860&gt;69.5,"A",IF(H860&gt;59.5,"B",IF(H860&gt;49.5,"C",IF(AND(D10="*PROGRAM",H860&lt;49.5),"F",IF(H860&gt;44.5,"D",IF(H860&gt;39.5,"E","F")))))))))</f>
        <v/>
      </c>
      <c r="J860" s="7" t="str">
        <f t="shared" si="42"/>
        <v/>
      </c>
      <c r="K860" s="1"/>
    </row>
    <row r="861" ht="15.75" customHeight="1" spans="1:11">
      <c r="A861" s="7">
        <v>587</v>
      </c>
      <c r="B861" s="43"/>
      <c r="C861" s="7"/>
      <c r="D861" s="7" t="str">
        <f>IF(D11="","",IF(H861="","",D11))</f>
        <v/>
      </c>
      <c r="E861" s="7"/>
      <c r="F861" s="7"/>
      <c r="G861" s="7"/>
      <c r="H861" s="10" t="str">
        <f>IF(AND(E861="",F861="",G861=""),"",IF(SUM(E861:G861)&gt;100,"ERROR",IF(AND(E10="TEST",SUM(E861:G861)&lt;=100),SUM(E861:G861),IF(AND(E10="*TEST",F861="",E861&lt;=30,G861&lt;=70),SUM(E861:G861),IF(AND(E10="*TEST",F861&lt;=20,E861&lt;=20,G861&lt;=60),SUM(E861:G861),IF(AND(E10="*TEST",F861="-",E861&lt;=20,G861&lt;=60),SUM(E861:G861),"ERROR"))))))</f>
        <v/>
      </c>
      <c r="I861" s="7" t="str">
        <f>IF(H861="ERROR","ERROR",IF(H861="","",IF(AND(F10="*LAB",F861="-"),"F",IF(H861&gt;69.5,"A",IF(H861&gt;59.5,"B",IF(H861&gt;49.5,"C",IF(AND(D10="*PROGRAM",H861&lt;49.5),"F",IF(H861&gt;44.5,"D",IF(H861&gt;39.5,"E","F")))))))))</f>
        <v/>
      </c>
      <c r="J861" s="7" t="str">
        <f t="shared" si="42"/>
        <v/>
      </c>
      <c r="K861" s="1"/>
    </row>
    <row r="862" ht="15.75" customHeight="1" spans="1:11">
      <c r="A862" s="7">
        <v>588</v>
      </c>
      <c r="B862" s="43"/>
      <c r="C862" s="7"/>
      <c r="D862" s="7" t="str">
        <f>IF(D11="","",IF(H862="","",D11))</f>
        <v/>
      </c>
      <c r="E862" s="7"/>
      <c r="F862" s="7"/>
      <c r="G862" s="7"/>
      <c r="H862" s="10" t="str">
        <f>IF(AND(E862="",F862="",G862=""),"",IF(SUM(E862:G862)&gt;100,"ERROR",IF(AND(E10="TEST",SUM(E862:G862)&lt;=100),SUM(E862:G862),IF(AND(E10="*TEST",F862="",E862&lt;=30,G862&lt;=70),SUM(E862:G862),IF(AND(E10="*TEST",F862&lt;=20,E862&lt;=20,G862&lt;=60),SUM(E862:G862),IF(AND(E10="*TEST",F862="-",E862&lt;=20,G862&lt;=60),SUM(E862:G862),"ERROR"))))))</f>
        <v/>
      </c>
      <c r="I862" s="7" t="str">
        <f>IF(H862="ERROR","ERROR",IF(H862="","",IF(AND(F10="*LAB",F862="-"),"F",IF(H862&gt;69.5,"A",IF(H862&gt;59.5,"B",IF(H862&gt;49.5,"C",IF(AND(D10="*PROGRAM",H862&lt;49.5),"F",IF(H862&gt;44.5,"D",IF(H862&gt;39.5,"E","F")))))))))</f>
        <v/>
      </c>
      <c r="J862" s="7" t="str">
        <f t="shared" si="42"/>
        <v/>
      </c>
      <c r="K862" s="1"/>
    </row>
    <row r="863" ht="15.75" customHeight="1" spans="1:11">
      <c r="A863" s="7">
        <v>589</v>
      </c>
      <c r="B863" s="43"/>
      <c r="C863" s="7"/>
      <c r="D863" s="7" t="str">
        <f>IF(D11="","",IF(H863="","",D11))</f>
        <v/>
      </c>
      <c r="E863" s="7"/>
      <c r="F863" s="7"/>
      <c r="G863" s="7"/>
      <c r="H863" s="10" t="str">
        <f>IF(AND(E863="",F863="",G863=""),"",IF(SUM(E863:G863)&gt;100,"ERROR",IF(AND(E10="TEST",SUM(E863:G863)&lt;=100),SUM(E863:G863),IF(AND(E10="*TEST",F863="",E863&lt;=30,G863&lt;=70),SUM(E863:G863),IF(AND(E10="*TEST",F863&lt;=20,E863&lt;=20,G863&lt;=60),SUM(E863:G863),IF(AND(E10="*TEST",F863="-",E863&lt;=20,G863&lt;=60),SUM(E863:G863),"ERROR"))))))</f>
        <v/>
      </c>
      <c r="I863" s="7" t="str">
        <f>IF(H863="ERROR","ERROR",IF(H863="","",IF(AND(F10="*LAB",F863="-"),"F",IF(H863&gt;69.5,"A",IF(H863&gt;59.5,"B",IF(H863&gt;49.5,"C",IF(AND(D10="*PROGRAM",H863&lt;49.5),"F",IF(H863&gt;44.5,"D",IF(H863&gt;39.5,"E","F")))))))))</f>
        <v/>
      </c>
      <c r="J863" s="7" t="str">
        <f t="shared" si="42"/>
        <v/>
      </c>
      <c r="K863" s="1"/>
    </row>
    <row r="864" ht="15.75" customHeight="1" spans="1:11">
      <c r="A864" s="7">
        <v>590</v>
      </c>
      <c r="B864" s="43"/>
      <c r="C864" s="7"/>
      <c r="D864" s="7" t="str">
        <f>IF(D11="","",IF(H864="","",D11))</f>
        <v/>
      </c>
      <c r="E864" s="7"/>
      <c r="F864" s="7"/>
      <c r="G864" s="7"/>
      <c r="H864" s="10" t="str">
        <f>IF(AND(E864="",F864="",G864=""),"",IF(SUM(E864:G864)&gt;100,"ERROR",IF(AND(E10="TEST",SUM(E864:G864)&lt;=100),SUM(E864:G864),IF(AND(E10="*TEST",F864="",E864&lt;=30,G864&lt;=70),SUM(E864:G864),IF(AND(E10="*TEST",F864&lt;=20,E864&lt;=20,G864&lt;=60),SUM(E864:G864),IF(AND(E10="*TEST",F864="-",E864&lt;=20,G864&lt;=60),SUM(E864:G864),"ERROR"))))))</f>
        <v/>
      </c>
      <c r="I864" s="7" t="str">
        <f>IF(H864="ERROR","ERROR",IF(H864="","",IF(AND(F10="*LAB",F864="-"),"F",IF(H864&gt;69.5,"A",IF(H864&gt;59.5,"B",IF(H864&gt;49.5,"C",IF(AND(D10="*PROGRAM",H864&lt;49.5),"F",IF(H864&gt;44.5,"D",IF(H864&gt;39.5,"E","F")))))))))</f>
        <v/>
      </c>
      <c r="J864" s="7" t="str">
        <f t="shared" si="42"/>
        <v/>
      </c>
      <c r="K864" s="1"/>
    </row>
    <row r="865" ht="15.75" customHeight="1" spans="1:11">
      <c r="A865" s="7">
        <v>591</v>
      </c>
      <c r="B865" s="43"/>
      <c r="C865" s="7"/>
      <c r="D865" s="7" t="str">
        <f>IF(D11="","",IF(H865="","",D11))</f>
        <v/>
      </c>
      <c r="E865" s="7"/>
      <c r="F865" s="7"/>
      <c r="G865" s="7"/>
      <c r="H865" s="10" t="str">
        <f>IF(AND(E865="",F865="",G865=""),"",IF(SUM(E865:G865)&gt;100,"ERROR",IF(AND(E10="TEST",SUM(E865:G865)&lt;=100),SUM(E865:G865),IF(AND(E10="*TEST",F865="",E865&lt;=30,G865&lt;=70),SUM(E865:G865),IF(AND(E10="*TEST",F865&lt;=20,E865&lt;=20,G865&lt;=60),SUM(E865:G865),IF(AND(E10="*TEST",F865="-",E865&lt;=20,G865&lt;=60),SUM(E865:G865),"ERROR"))))))</f>
        <v/>
      </c>
      <c r="I865" s="7" t="str">
        <f>IF(H865="ERROR","ERROR",IF(H865="","",IF(AND(F10="*LAB",F865="-"),"F",IF(H865&gt;69.5,"A",IF(H865&gt;59.5,"B",IF(H865&gt;49.5,"C",IF(AND(D10="*PROGRAM",H865&lt;49.5),"F",IF(H865&gt;44.5,"D",IF(H865&gt;39.5,"E","F")))))))))</f>
        <v/>
      </c>
      <c r="J865" s="7" t="str">
        <f t="shared" si="42"/>
        <v/>
      </c>
      <c r="K865" s="1"/>
    </row>
    <row r="866" ht="15.75" customHeight="1" spans="1:11">
      <c r="A866" s="7">
        <v>592</v>
      </c>
      <c r="B866" s="43"/>
      <c r="C866" s="7"/>
      <c r="D866" s="7" t="str">
        <f>IF(D11="","",IF(H866="","",D11))</f>
        <v/>
      </c>
      <c r="E866" s="7"/>
      <c r="F866" s="7"/>
      <c r="G866" s="7"/>
      <c r="H866" s="10" t="str">
        <f>IF(AND(E866="",F866="",G866=""),"",IF(SUM(E866:G866)&gt;100,"ERROR",IF(AND(E10="TEST",SUM(E866:G866)&lt;=100),SUM(E866:G866),IF(AND(E10="*TEST",F866="",E866&lt;=30,G866&lt;=70),SUM(E866:G866),IF(AND(E10="*TEST",F866&lt;=20,E866&lt;=20,G866&lt;=60),SUM(E866:G866),IF(AND(E10="*TEST",F866="-",E866&lt;=20,G866&lt;=60),SUM(E866:G866),"ERROR"))))))</f>
        <v/>
      </c>
      <c r="I866" s="7" t="str">
        <f>IF(H866="ERROR","ERROR",IF(H866="","",IF(AND(F10="*LAB",F866="-"),"F",IF(H866&gt;69.5,"A",IF(H866&gt;59.5,"B",IF(H866&gt;49.5,"C",IF(AND(D10="*PROGRAM",H866&lt;49.5),"F",IF(H866&gt;44.5,"D",IF(H866&gt;39.5,"E","F")))))))))</f>
        <v/>
      </c>
      <c r="J866" s="7" t="str">
        <f t="shared" si="42"/>
        <v/>
      </c>
      <c r="K866" s="1"/>
    </row>
    <row r="867" ht="15.75" customHeight="1" spans="1:11">
      <c r="A867" s="7">
        <v>593</v>
      </c>
      <c r="B867" s="43"/>
      <c r="C867" s="7"/>
      <c r="D867" s="7" t="str">
        <f>IF(D11="","",IF(H867="","",D11))</f>
        <v/>
      </c>
      <c r="E867" s="7"/>
      <c r="F867" s="7"/>
      <c r="G867" s="7"/>
      <c r="H867" s="10" t="str">
        <f>IF(AND(E867="",F867="",G867=""),"",IF(SUM(E867:G867)&gt;100,"ERROR",IF(AND(E10="TEST",SUM(E867:G867)&lt;=100),SUM(E867:G867),IF(AND(E10="*TEST",F867="",E867&lt;=30,G867&lt;=70),SUM(E867:G867),IF(AND(E10="*TEST",F867&lt;=20,E867&lt;=20,G867&lt;=60),SUM(E867:G867),IF(AND(E10="*TEST",F867="-",E867&lt;=20,G867&lt;=60),SUM(E867:G867),"ERROR"))))))</f>
        <v/>
      </c>
      <c r="I867" s="7" t="str">
        <f>IF(H867="ERROR","ERROR",IF(H867="","",IF(AND(F10="*LAB",F867="-"),"F",IF(H867&gt;69.5,"A",IF(H867&gt;59.5,"B",IF(H867&gt;49.5,"C",IF(AND(D10="*PROGRAM",H867&lt;49.5),"F",IF(H867&gt;44.5,"D",IF(H867&gt;39.5,"E","F")))))))))</f>
        <v/>
      </c>
      <c r="J867" s="7" t="str">
        <f t="shared" si="42"/>
        <v/>
      </c>
      <c r="K867" s="1"/>
    </row>
    <row r="868" ht="15.75" customHeight="1" spans="1:11">
      <c r="A868" s="7">
        <v>594</v>
      </c>
      <c r="B868" s="43"/>
      <c r="C868" s="7"/>
      <c r="D868" s="7" t="str">
        <f>IF(D11="","",IF(H868="","",D11))</f>
        <v/>
      </c>
      <c r="E868" s="7"/>
      <c r="F868" s="7"/>
      <c r="G868" s="7"/>
      <c r="H868" s="10" t="str">
        <f>IF(AND(E868="",F868="",G868=""),"",IF(SUM(E868:G868)&gt;100,"ERROR",IF(AND(E10="TEST",SUM(E868:G868)&lt;=100),SUM(E868:G868),IF(AND(E10="*TEST",F868="",E868&lt;=30,G868&lt;=70),SUM(E868:G868),IF(AND(E10="*TEST",F868&lt;=20,E868&lt;=20,G868&lt;=60),SUM(E868:G868),IF(AND(E10="*TEST",F868="-",E868&lt;=20,G868&lt;=60),SUM(E868:G868),"ERROR"))))))</f>
        <v/>
      </c>
      <c r="I868" s="7" t="str">
        <f>IF(H868="ERROR","ERROR",IF(H868="","",IF(AND(F10="*LAB",F868="-"),"F",IF(H868&gt;69.5,"A",IF(H868&gt;59.5,"B",IF(H868&gt;49.5,"C",IF(AND(D10="*PROGRAM",H868&lt;49.5),"F",IF(H868&gt;44.5,"D",IF(H868&gt;39.5,"E","F")))))))))</f>
        <v/>
      </c>
      <c r="J868" s="7" t="str">
        <f t="shared" si="42"/>
        <v/>
      </c>
      <c r="K868" s="1"/>
    </row>
    <row r="869" ht="15.75" customHeight="1" spans="1:11">
      <c r="A869" s="7">
        <v>595</v>
      </c>
      <c r="B869" s="43"/>
      <c r="C869" s="7"/>
      <c r="D869" s="7" t="str">
        <f>IF(D11="","",IF(H869="","",D11))</f>
        <v/>
      </c>
      <c r="E869" s="7"/>
      <c r="F869" s="7"/>
      <c r="G869" s="7"/>
      <c r="H869" s="10" t="str">
        <f>IF(AND(E869="",F869="",G869=""),"",IF(SUM(E869:G869)&gt;100,"ERROR",IF(AND(E10="TEST",SUM(E869:G869)&lt;=100),SUM(E869:G869),IF(AND(E10="*TEST",F869="",E869&lt;=30,G869&lt;=70),SUM(E869:G869),IF(AND(E10="*TEST",F869&lt;=20,E869&lt;=20,G869&lt;=60),SUM(E869:G869),IF(AND(E10="*TEST",F869="-",E869&lt;=20,G869&lt;=60),SUM(E869:G869),"ERROR"))))))</f>
        <v/>
      </c>
      <c r="I869" s="7" t="str">
        <f>IF(H869="ERROR","ERROR",IF(H869="","",IF(AND(F10="*LAB",F869="-"),"F",IF(H869&gt;69.5,"A",IF(H869&gt;59.5,"B",IF(H869&gt;49.5,"C",IF(AND(D10="*PROGRAM",H869&lt;49.5),"F",IF(H869&gt;44.5,"D",IF(H869&gt;39.5,"E","F")))))))))</f>
        <v/>
      </c>
      <c r="J869" s="7" t="str">
        <f t="shared" si="42"/>
        <v/>
      </c>
      <c r="K869" s="1"/>
    </row>
    <row r="870" ht="15.75" customHeight="1" spans="1:11">
      <c r="A870" s="7">
        <v>596</v>
      </c>
      <c r="B870" s="43"/>
      <c r="C870" s="7"/>
      <c r="D870" s="7" t="str">
        <f>IF(D11="","",IF(H870="","",D11))</f>
        <v/>
      </c>
      <c r="E870" s="7"/>
      <c r="F870" s="7"/>
      <c r="G870" s="7"/>
      <c r="H870" s="10" t="str">
        <f>IF(AND(E870="",F870="",G870=""),"",IF(SUM(E870:G870)&gt;100,"ERROR",IF(AND(E10="TEST",SUM(E870:G870)&lt;=100),SUM(E870:G870),IF(AND(E10="*TEST",F870="",E870&lt;=30,G870&lt;=70),SUM(E870:G870),IF(AND(E10="*TEST",F870&lt;=20,E870&lt;=20,G870&lt;=60),SUM(E870:G870),IF(AND(E10="*TEST",F870="-",E870&lt;=20,G870&lt;=60),SUM(E870:G870),"ERROR"))))))</f>
        <v/>
      </c>
      <c r="I870" s="7" t="str">
        <f>IF(H870="ERROR","ERROR",IF(H870="","",IF(AND(F10="*LAB",F870="-"),"F",IF(H870&gt;69.5,"A",IF(H870&gt;59.5,"B",IF(H870&gt;49.5,"C",IF(AND(D10="*PROGRAM",H870&lt;49.5),"F",IF(H870&gt;44.5,"D",IF(H870&gt;39.5,"E","F")))))))))</f>
        <v/>
      </c>
      <c r="J870" s="7" t="str">
        <f t="shared" si="42"/>
        <v/>
      </c>
      <c r="K870" s="1"/>
    </row>
    <row r="871" ht="15.75" customHeight="1" spans="1:11">
      <c r="A871" s="7">
        <v>597</v>
      </c>
      <c r="B871" s="43"/>
      <c r="C871" s="7"/>
      <c r="D871" s="7" t="str">
        <f>IF(D11="","",IF(H871="","",D11))</f>
        <v/>
      </c>
      <c r="E871" s="7"/>
      <c r="F871" s="7"/>
      <c r="G871" s="7"/>
      <c r="H871" s="10" t="str">
        <f>IF(AND(E871="",F871="",G871=""),"",IF(SUM(E871:G871)&gt;100,"ERROR",IF(AND(E10="TEST",SUM(E871:G871)&lt;=100),SUM(E871:G871),IF(AND(E10="*TEST",F871="",E871&lt;=30,G871&lt;=70),SUM(E871:G871),IF(AND(E10="*TEST",F871&lt;=20,E871&lt;=20,G871&lt;=60),SUM(E871:G871),IF(AND(E10="*TEST",F871="-",E871&lt;=20,G871&lt;=60),SUM(E871:G871),"ERROR"))))))</f>
        <v/>
      </c>
      <c r="I871" s="7" t="str">
        <f>IF(H871="ERROR","ERROR",IF(H871="","",IF(AND(F10="*LAB",F871="-"),"F",IF(H871&gt;69.5,"A",IF(H871&gt;59.5,"B",IF(H871&gt;49.5,"C",IF(AND(D10="*PROGRAM",H871&lt;49.5),"F",IF(H871&gt;44.5,"D",IF(H871&gt;39.5,"E","F")))))))))</f>
        <v/>
      </c>
      <c r="J871" s="7" t="str">
        <f t="shared" si="42"/>
        <v/>
      </c>
      <c r="K871" s="1"/>
    </row>
    <row r="872" ht="15.75" customHeight="1" spans="1:11">
      <c r="A872" s="7">
        <v>598</v>
      </c>
      <c r="B872" s="43"/>
      <c r="C872" s="7"/>
      <c r="D872" s="7" t="str">
        <f>IF(D11="","",IF(H872="","",D11))</f>
        <v/>
      </c>
      <c r="E872" s="7"/>
      <c r="F872" s="7"/>
      <c r="G872" s="7"/>
      <c r="H872" s="10" t="str">
        <f>IF(AND(E872="",F872="",G872=""),"",IF(SUM(E872:G872)&gt;100,"ERROR",IF(AND(E10="TEST",SUM(E872:G872)&lt;=100),SUM(E872:G872),IF(AND(E10="*TEST",F872="",E872&lt;=30,G872&lt;=70),SUM(E872:G872),IF(AND(E10="*TEST",F872&lt;=20,E872&lt;=20,G872&lt;=60),SUM(E872:G872),IF(AND(E10="*TEST",F872="-",E872&lt;=20,G872&lt;=60),SUM(E872:G872),"ERROR"))))))</f>
        <v/>
      </c>
      <c r="I872" s="7" t="str">
        <f>IF(H872="ERROR","ERROR",IF(H872="","",IF(AND(F10="*LAB",F872="-"),"F",IF(H872&gt;69.5,"A",IF(H872&gt;59.5,"B",IF(H872&gt;49.5,"C",IF(AND(D10="*PROGRAM",H872&lt;49.5),"F",IF(H872&gt;44.5,"D",IF(H872&gt;39.5,"E","F")))))))))</f>
        <v/>
      </c>
      <c r="J872" s="7" t="str">
        <f t="shared" si="42"/>
        <v/>
      </c>
      <c r="K872" s="1"/>
    </row>
    <row r="873" ht="15.75" customHeight="1" spans="1:11">
      <c r="A873" s="7">
        <v>599</v>
      </c>
      <c r="B873" s="43"/>
      <c r="C873" s="7"/>
      <c r="D873" s="7" t="str">
        <f>IF(D11="","",IF(H873="","",D11))</f>
        <v/>
      </c>
      <c r="E873" s="7"/>
      <c r="F873" s="7"/>
      <c r="G873" s="7"/>
      <c r="H873" s="10" t="str">
        <f>IF(AND(E873="",F873="",G873=""),"",IF(SUM(E873:G873)&gt;100,"ERROR",IF(AND(E10="TEST",SUM(E873:G873)&lt;=100),SUM(E873:G873),IF(AND(E10="*TEST",F873="",E873&lt;=30,G873&lt;=70),SUM(E873:G873),IF(AND(E10="*TEST",F873&lt;=20,E873&lt;=20,G873&lt;=60),SUM(E873:G873),IF(AND(E10="*TEST",F873="-",E873&lt;=20,G873&lt;=60),SUM(E873:G873),"ERROR"))))))</f>
        <v/>
      </c>
      <c r="I873" s="7" t="str">
        <f>IF(H873="ERROR","ERROR",IF(H873="","",IF(AND(F10="*LAB",F873="-"),"F",IF(H873&gt;69.5,"A",IF(H873&gt;59.5,"B",IF(H873&gt;49.5,"C",IF(AND(D10="*PROGRAM",H873&lt;49.5),"F",IF(H873&gt;44.5,"D",IF(H873&gt;39.5,"E","F")))))))))</f>
        <v/>
      </c>
      <c r="J873" s="7" t="str">
        <f t="shared" si="42"/>
        <v/>
      </c>
      <c r="K873" s="1"/>
    </row>
    <row r="874" ht="15.75" customHeight="1" spans="1:11">
      <c r="A874" s="7">
        <v>600</v>
      </c>
      <c r="B874" s="43"/>
      <c r="C874" s="7"/>
      <c r="D874" s="7" t="str">
        <f>IF(D11="","",IF(H874="","",D11))</f>
        <v/>
      </c>
      <c r="E874" s="7"/>
      <c r="F874" s="7"/>
      <c r="G874" s="7"/>
      <c r="H874" s="10" t="str">
        <f>IF(AND(E874="",F874="",G874=""),"",IF(SUM(E874:G874)&gt;100,"ERROR",IF(AND(E10="TEST",SUM(E874:G874)&lt;=100),SUM(E874:G874),IF(AND(E10="*TEST",F874="",E874&lt;=30,G874&lt;=70),SUM(E874:G874),IF(AND(E10="*TEST",F874&lt;=20,E874&lt;=20,G874&lt;=60),SUM(E874:G874),IF(AND(E10="*TEST",F874="-",E874&lt;=20,G874&lt;=60),SUM(E874:G874),"ERROR"))))))</f>
        <v/>
      </c>
      <c r="I874" s="7" t="str">
        <f>IF(H874="ERROR","ERROR",IF(H874="","",IF(AND(F10="*LAB",F874="-"),"F",IF(H874&gt;69.5,"A",IF(H874&gt;59.5,"B",IF(H874&gt;49.5,"C",IF(AND(D10="*PROGRAM",H874&lt;49.5),"F",IF(H874&gt;44.5,"D",IF(H874&gt;39.5,"E","F")))))))))</f>
        <v/>
      </c>
      <c r="J874" s="7" t="str">
        <f t="shared" si="42"/>
        <v/>
      </c>
      <c r="K874" s="1"/>
    </row>
    <row r="875" ht="24.75" customHeight="1" spans="1:11">
      <c r="A875" s="1"/>
      <c r="B875" s="44"/>
      <c r="C875" s="1"/>
      <c r="D875" s="1"/>
      <c r="E875" s="1"/>
      <c r="F875" s="1"/>
      <c r="G875" s="13"/>
      <c r="H875" s="14"/>
      <c r="I875" s="14"/>
      <c r="J875" s="14"/>
      <c r="K875" s="1"/>
    </row>
    <row r="876" ht="15.75" customHeight="1" spans="1:11">
      <c r="A876" s="1"/>
      <c r="B876" s="15" t="s">
        <v>60</v>
      </c>
      <c r="C876" s="13"/>
      <c r="D876" s="13"/>
      <c r="E876" s="13"/>
      <c r="F876" s="13"/>
      <c r="G876" s="16" t="s">
        <v>61</v>
      </c>
      <c r="H876" s="17"/>
      <c r="I876" s="17"/>
      <c r="J876" s="17"/>
      <c r="K876" s="1"/>
    </row>
    <row r="877" ht="15.75" customHeight="1" spans="1:11">
      <c r="A877" s="1" t="str">
        <f>IF(I835&lt;&gt;"",A889,"")</f>
        <v/>
      </c>
      <c r="B877" s="2" t="str">
        <f>IF(A877="","",B889)</f>
        <v/>
      </c>
      <c r="C877" s="16" t="s">
        <v>62</v>
      </c>
      <c r="D877" s="17"/>
      <c r="E877" s="17"/>
      <c r="F877" s="17"/>
      <c r="G877" s="1"/>
      <c r="H877" s="1"/>
      <c r="I877" s="1"/>
      <c r="J877" s="1"/>
      <c r="K877" s="1"/>
    </row>
    <row r="878" ht="15.75" customHeight="1" spans="1:11">
      <c r="A878" s="1" t="str">
        <f>IF(A877="","",A890)</f>
        <v/>
      </c>
      <c r="B878" s="2" t="str">
        <f>IF(A877="","",B890)</f>
        <v/>
      </c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 spans="1:11">
      <c r="A879" s="1" t="str">
        <f>IF(A877="","",A891)</f>
        <v/>
      </c>
      <c r="B879" s="2" t="str">
        <f>IF(A877="","",B891)</f>
        <v/>
      </c>
      <c r="C879" s="18" t="s">
        <v>63</v>
      </c>
      <c r="D879" s="17"/>
      <c r="E879" s="17"/>
      <c r="F879" s="17"/>
      <c r="G879" s="17"/>
      <c r="H879" s="17"/>
      <c r="I879" s="17"/>
      <c r="J879" s="24"/>
      <c r="K879" s="1"/>
    </row>
    <row r="880" ht="15.75" customHeight="1" spans="1:11">
      <c r="A880" s="1" t="str">
        <f>IF(A877="","",A892)</f>
        <v/>
      </c>
      <c r="B880" s="2" t="str">
        <f>IF(A877="","",B892)</f>
        <v/>
      </c>
      <c r="C880" s="19" t="s">
        <v>64</v>
      </c>
      <c r="F880" s="15"/>
      <c r="G880" s="15" t="s">
        <v>65</v>
      </c>
      <c r="J880" s="25"/>
      <c r="K880" s="1"/>
    </row>
    <row r="881" ht="15.75" customHeight="1" spans="1:11">
      <c r="A881" s="1" t="str">
        <f>IF(A877="","",A893)</f>
        <v/>
      </c>
      <c r="B881" s="2" t="str">
        <f>IF(A877="","",B893)</f>
        <v/>
      </c>
      <c r="C881" s="19" t="s">
        <v>66</v>
      </c>
      <c r="F881" s="15"/>
      <c r="G881" s="15" t="s">
        <v>67</v>
      </c>
      <c r="J881" s="25"/>
      <c r="K881" s="1"/>
    </row>
    <row r="882" ht="15.75" customHeight="1" spans="1:11">
      <c r="A882" s="1" t="str">
        <f>IF(A877="","",A894)</f>
        <v/>
      </c>
      <c r="B882" s="2" t="str">
        <f>IF(A877="","",B894)</f>
        <v/>
      </c>
      <c r="C882" s="20" t="s">
        <v>68</v>
      </c>
      <c r="D882" s="14"/>
      <c r="E882" s="14"/>
      <c r="F882" s="21"/>
      <c r="G882" s="21" t="s">
        <v>69</v>
      </c>
      <c r="H882" s="14"/>
      <c r="I882" s="14"/>
      <c r="J882" s="26"/>
      <c r="K882" s="1"/>
    </row>
    <row r="883" ht="15.75" customHeight="1" spans="1:11">
      <c r="A883" s="1" t="str">
        <f>IF(A877="","",A895)</f>
        <v/>
      </c>
      <c r="B883" s="22" t="str">
        <f>IF(A877="","",B895)</f>
        <v/>
      </c>
      <c r="C883" s="1"/>
      <c r="D883" s="1"/>
      <c r="E883" s="1"/>
      <c r="F883" s="1"/>
      <c r="G883" s="1"/>
      <c r="H883" s="1"/>
      <c r="I883" s="1"/>
      <c r="J883" s="27" t="s">
        <v>187</v>
      </c>
      <c r="K883" s="1"/>
    </row>
    <row r="884" ht="15.75" customHeight="1" spans="1:1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 spans="1:1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 spans="1:1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 spans="1:1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 spans="1:1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</row>
    <row r="889" ht="15.75" hidden="1" customHeight="1" spans="1:11">
      <c r="A889" s="1" t="s">
        <v>188</v>
      </c>
      <c r="B889" s="2">
        <f>COUNTIF(I11:I878,"A")</f>
        <v>0</v>
      </c>
      <c r="C889" s="1"/>
      <c r="D889" s="1"/>
      <c r="E889" s="1"/>
      <c r="F889" s="1"/>
      <c r="G889" s="1"/>
      <c r="H889" s="1"/>
      <c r="I889" s="1"/>
      <c r="J889" s="1"/>
      <c r="K889" s="1"/>
    </row>
    <row r="890" ht="15.75" hidden="1" customHeight="1" spans="1:11">
      <c r="A890" s="1" t="s">
        <v>189</v>
      </c>
      <c r="B890" s="2">
        <f>COUNTIF(I11:I878,"B")</f>
        <v>0</v>
      </c>
      <c r="C890" s="1"/>
      <c r="D890" s="1"/>
      <c r="E890" s="1"/>
      <c r="F890" s="1"/>
      <c r="G890" s="1"/>
      <c r="H890" s="1"/>
      <c r="I890" s="1"/>
      <c r="J890" s="1"/>
      <c r="K890" s="1"/>
    </row>
    <row r="891" ht="15.75" hidden="1" customHeight="1" spans="1:11">
      <c r="A891" s="1" t="s">
        <v>190</v>
      </c>
      <c r="B891" s="2">
        <f>COUNTIF(I11:I878,"C")</f>
        <v>0</v>
      </c>
      <c r="C891" s="1"/>
      <c r="D891" s="1"/>
      <c r="E891" s="1"/>
      <c r="F891" s="1"/>
      <c r="G891" s="1"/>
      <c r="H891" s="1"/>
      <c r="I891" s="1"/>
      <c r="J891" s="1"/>
      <c r="K891" s="1"/>
    </row>
    <row r="892" ht="15.75" hidden="1" customHeight="1" spans="1:11">
      <c r="A892" s="1" t="s">
        <v>191</v>
      </c>
      <c r="B892" s="2">
        <f>COUNTIF(I11:I878,"D")</f>
        <v>0</v>
      </c>
      <c r="C892" s="1"/>
      <c r="D892" s="1"/>
      <c r="E892" s="1"/>
      <c r="F892" s="1"/>
      <c r="G892" s="1"/>
      <c r="H892" s="1"/>
      <c r="I892" s="1"/>
      <c r="J892" s="1"/>
      <c r="K892" s="1"/>
    </row>
    <row r="893" ht="15.75" hidden="1" customHeight="1" spans="1:11">
      <c r="A893" s="1" t="s">
        <v>192</v>
      </c>
      <c r="B893" s="2">
        <f>COUNTIF(I11:I878,"E")</f>
        <v>0</v>
      </c>
      <c r="C893" s="1"/>
      <c r="D893" s="1"/>
      <c r="E893" s="1"/>
      <c r="F893" s="1"/>
      <c r="G893" s="1"/>
      <c r="H893" s="1"/>
      <c r="I893" s="1"/>
      <c r="J893" s="1"/>
      <c r="K893" s="1"/>
    </row>
    <row r="894" ht="15.75" hidden="1" customHeight="1" spans="1:11">
      <c r="A894" s="1" t="s">
        <v>193</v>
      </c>
      <c r="B894" s="2">
        <f>COUNTIF(I11:I878,"F")</f>
        <v>0</v>
      </c>
      <c r="C894" s="1"/>
      <c r="D894" s="1"/>
      <c r="E894" s="1"/>
      <c r="F894" s="1"/>
      <c r="G894" s="1"/>
      <c r="H894" s="1"/>
      <c r="I894" s="1"/>
      <c r="J894" s="1"/>
      <c r="K894" s="1"/>
    </row>
    <row r="895" ht="15.75" hidden="1" customHeight="1" spans="1:11">
      <c r="A895" s="5" t="s">
        <v>194</v>
      </c>
      <c r="B895" s="22" t="e">
        <f>B894/SUM(B889:B894)</f>
        <v>#DIV/0!</v>
      </c>
      <c r="C895" s="1"/>
      <c r="D895" s="1"/>
      <c r="E895" s="1"/>
      <c r="F895" s="1"/>
      <c r="G895" s="1"/>
      <c r="H895" s="1"/>
      <c r="I895" s="1"/>
      <c r="J895" s="1"/>
      <c r="K895" s="1"/>
    </row>
  </sheetData>
  <mergeCells count="300">
    <mergeCell ref="B2:J2"/>
    <mergeCell ref="B3:J3"/>
    <mergeCell ref="A5:C5"/>
    <mergeCell ref="E5:J5"/>
    <mergeCell ref="A6:C6"/>
    <mergeCell ref="E6:J6"/>
    <mergeCell ref="A7:C7"/>
    <mergeCell ref="E7:J7"/>
    <mergeCell ref="A8:C8"/>
    <mergeCell ref="E8:J8"/>
    <mergeCell ref="G51:J51"/>
    <mergeCell ref="G52:J52"/>
    <mergeCell ref="C53:F53"/>
    <mergeCell ref="C55:J55"/>
    <mergeCell ref="C56:E56"/>
    <mergeCell ref="G56:J56"/>
    <mergeCell ref="C57:E57"/>
    <mergeCell ref="G57:J57"/>
    <mergeCell ref="C58:E58"/>
    <mergeCell ref="G58:J58"/>
    <mergeCell ref="B61:J61"/>
    <mergeCell ref="B62:J62"/>
    <mergeCell ref="A64:C64"/>
    <mergeCell ref="E64:J64"/>
    <mergeCell ref="A65:C65"/>
    <mergeCell ref="E65:J65"/>
    <mergeCell ref="A66:C66"/>
    <mergeCell ref="E66:J66"/>
    <mergeCell ref="A67:C67"/>
    <mergeCell ref="E67:J67"/>
    <mergeCell ref="G108:J108"/>
    <mergeCell ref="G109:J109"/>
    <mergeCell ref="C110:F110"/>
    <mergeCell ref="C112:J112"/>
    <mergeCell ref="C113:E113"/>
    <mergeCell ref="G113:J113"/>
    <mergeCell ref="C114:E114"/>
    <mergeCell ref="G114:J114"/>
    <mergeCell ref="C115:E115"/>
    <mergeCell ref="G115:J115"/>
    <mergeCell ref="B118:J118"/>
    <mergeCell ref="B119:J119"/>
    <mergeCell ref="A121:C121"/>
    <mergeCell ref="E121:J121"/>
    <mergeCell ref="A122:C122"/>
    <mergeCell ref="E122:J122"/>
    <mergeCell ref="A123:C123"/>
    <mergeCell ref="E123:J123"/>
    <mergeCell ref="A124:C124"/>
    <mergeCell ref="E124:J124"/>
    <mergeCell ref="G167:J167"/>
    <mergeCell ref="G168:J168"/>
    <mergeCell ref="C169:F169"/>
    <mergeCell ref="C171:J171"/>
    <mergeCell ref="C172:E172"/>
    <mergeCell ref="G172:J172"/>
    <mergeCell ref="C173:E173"/>
    <mergeCell ref="G173:J173"/>
    <mergeCell ref="C174:E174"/>
    <mergeCell ref="G174:J174"/>
    <mergeCell ref="B177:J177"/>
    <mergeCell ref="B178:J178"/>
    <mergeCell ref="A180:C180"/>
    <mergeCell ref="E180:J180"/>
    <mergeCell ref="A181:C181"/>
    <mergeCell ref="E181:J181"/>
    <mergeCell ref="A182:C182"/>
    <mergeCell ref="E182:J182"/>
    <mergeCell ref="A183:C183"/>
    <mergeCell ref="E183:J183"/>
    <mergeCell ref="G226:J226"/>
    <mergeCell ref="G227:J227"/>
    <mergeCell ref="C228:F228"/>
    <mergeCell ref="C230:J230"/>
    <mergeCell ref="C231:E231"/>
    <mergeCell ref="G231:J231"/>
    <mergeCell ref="C232:E232"/>
    <mergeCell ref="G232:J232"/>
    <mergeCell ref="C233:E233"/>
    <mergeCell ref="G233:J233"/>
    <mergeCell ref="B236:J236"/>
    <mergeCell ref="B237:J237"/>
    <mergeCell ref="A239:C239"/>
    <mergeCell ref="E239:J239"/>
    <mergeCell ref="A240:C240"/>
    <mergeCell ref="E240:J240"/>
    <mergeCell ref="A241:C241"/>
    <mergeCell ref="E241:J241"/>
    <mergeCell ref="A242:C242"/>
    <mergeCell ref="E242:J242"/>
    <mergeCell ref="G285:J285"/>
    <mergeCell ref="G286:J286"/>
    <mergeCell ref="C287:F287"/>
    <mergeCell ref="C289:J289"/>
    <mergeCell ref="C290:E290"/>
    <mergeCell ref="G290:J290"/>
    <mergeCell ref="C291:E291"/>
    <mergeCell ref="G291:J291"/>
    <mergeCell ref="C292:E292"/>
    <mergeCell ref="G292:J292"/>
    <mergeCell ref="B295:J295"/>
    <mergeCell ref="B296:J296"/>
    <mergeCell ref="A298:C298"/>
    <mergeCell ref="E298:J298"/>
    <mergeCell ref="A299:C299"/>
    <mergeCell ref="E299:J299"/>
    <mergeCell ref="A300:C300"/>
    <mergeCell ref="E300:J300"/>
    <mergeCell ref="A301:C301"/>
    <mergeCell ref="E301:J301"/>
    <mergeCell ref="G344:J344"/>
    <mergeCell ref="G345:J345"/>
    <mergeCell ref="C346:F346"/>
    <mergeCell ref="C348:J348"/>
    <mergeCell ref="C349:E349"/>
    <mergeCell ref="G349:J349"/>
    <mergeCell ref="C350:E350"/>
    <mergeCell ref="G350:J350"/>
    <mergeCell ref="C351:E351"/>
    <mergeCell ref="G351:J351"/>
    <mergeCell ref="B354:J354"/>
    <mergeCell ref="B355:J355"/>
    <mergeCell ref="A357:C357"/>
    <mergeCell ref="E357:J357"/>
    <mergeCell ref="A358:C358"/>
    <mergeCell ref="E358:J358"/>
    <mergeCell ref="A359:C359"/>
    <mergeCell ref="E359:J359"/>
    <mergeCell ref="A360:C360"/>
    <mergeCell ref="E360:J360"/>
    <mergeCell ref="G403:J403"/>
    <mergeCell ref="G404:J404"/>
    <mergeCell ref="C405:F405"/>
    <mergeCell ref="C407:J407"/>
    <mergeCell ref="C408:E408"/>
    <mergeCell ref="G408:J408"/>
    <mergeCell ref="C409:E409"/>
    <mergeCell ref="G409:J409"/>
    <mergeCell ref="C410:E410"/>
    <mergeCell ref="G410:J410"/>
    <mergeCell ref="B413:J413"/>
    <mergeCell ref="B414:J414"/>
    <mergeCell ref="A416:C416"/>
    <mergeCell ref="E416:J416"/>
    <mergeCell ref="A417:C417"/>
    <mergeCell ref="E417:J417"/>
    <mergeCell ref="A418:C418"/>
    <mergeCell ref="E418:J418"/>
    <mergeCell ref="A419:C419"/>
    <mergeCell ref="E419:J419"/>
    <mergeCell ref="G462:J462"/>
    <mergeCell ref="G463:J463"/>
    <mergeCell ref="C464:F464"/>
    <mergeCell ref="C466:J466"/>
    <mergeCell ref="C467:E467"/>
    <mergeCell ref="G467:J467"/>
    <mergeCell ref="C468:E468"/>
    <mergeCell ref="G468:J468"/>
    <mergeCell ref="C469:E469"/>
    <mergeCell ref="G469:J469"/>
    <mergeCell ref="B472:J472"/>
    <mergeCell ref="B473:J473"/>
    <mergeCell ref="A475:C475"/>
    <mergeCell ref="E475:J475"/>
    <mergeCell ref="A476:C476"/>
    <mergeCell ref="E476:J476"/>
    <mergeCell ref="A477:C477"/>
    <mergeCell ref="E477:J477"/>
    <mergeCell ref="A478:C478"/>
    <mergeCell ref="E478:J478"/>
    <mergeCell ref="G521:J521"/>
    <mergeCell ref="G522:J522"/>
    <mergeCell ref="C523:F523"/>
    <mergeCell ref="C525:J525"/>
    <mergeCell ref="C526:E526"/>
    <mergeCell ref="G526:J526"/>
    <mergeCell ref="C527:E527"/>
    <mergeCell ref="G527:J527"/>
    <mergeCell ref="C528:E528"/>
    <mergeCell ref="G528:J528"/>
    <mergeCell ref="B531:J531"/>
    <mergeCell ref="B532:J532"/>
    <mergeCell ref="A534:C534"/>
    <mergeCell ref="E534:J534"/>
    <mergeCell ref="A535:C535"/>
    <mergeCell ref="E535:J535"/>
    <mergeCell ref="A536:C536"/>
    <mergeCell ref="E536:J536"/>
    <mergeCell ref="A537:C537"/>
    <mergeCell ref="E537:J537"/>
    <mergeCell ref="G580:J580"/>
    <mergeCell ref="G581:J581"/>
    <mergeCell ref="C582:F582"/>
    <mergeCell ref="C584:J584"/>
    <mergeCell ref="C585:E585"/>
    <mergeCell ref="G585:J585"/>
    <mergeCell ref="C586:E586"/>
    <mergeCell ref="G586:J586"/>
    <mergeCell ref="C587:E587"/>
    <mergeCell ref="G587:J587"/>
    <mergeCell ref="B590:J590"/>
    <mergeCell ref="B591:J591"/>
    <mergeCell ref="A593:C593"/>
    <mergeCell ref="E593:J593"/>
    <mergeCell ref="A594:C594"/>
    <mergeCell ref="E594:J594"/>
    <mergeCell ref="A595:C595"/>
    <mergeCell ref="E595:J595"/>
    <mergeCell ref="A596:C596"/>
    <mergeCell ref="E596:J596"/>
    <mergeCell ref="G639:J639"/>
    <mergeCell ref="G640:J640"/>
    <mergeCell ref="C641:F641"/>
    <mergeCell ref="C643:J643"/>
    <mergeCell ref="C644:E644"/>
    <mergeCell ref="G644:J644"/>
    <mergeCell ref="C645:E645"/>
    <mergeCell ref="G645:J645"/>
    <mergeCell ref="C646:E646"/>
    <mergeCell ref="G646:J646"/>
    <mergeCell ref="B649:J649"/>
    <mergeCell ref="B650:J650"/>
    <mergeCell ref="A652:C652"/>
    <mergeCell ref="E652:J652"/>
    <mergeCell ref="A653:C653"/>
    <mergeCell ref="E653:J653"/>
    <mergeCell ref="A654:C654"/>
    <mergeCell ref="E654:J654"/>
    <mergeCell ref="A655:C655"/>
    <mergeCell ref="E655:J655"/>
    <mergeCell ref="G698:J698"/>
    <mergeCell ref="G699:J699"/>
    <mergeCell ref="C700:F700"/>
    <mergeCell ref="C702:J702"/>
    <mergeCell ref="C703:E703"/>
    <mergeCell ref="G703:J703"/>
    <mergeCell ref="C704:E704"/>
    <mergeCell ref="G704:J704"/>
    <mergeCell ref="C705:E705"/>
    <mergeCell ref="G705:J705"/>
    <mergeCell ref="B708:J708"/>
    <mergeCell ref="B709:J709"/>
    <mergeCell ref="A711:C711"/>
    <mergeCell ref="E711:J711"/>
    <mergeCell ref="A712:C712"/>
    <mergeCell ref="E712:J712"/>
    <mergeCell ref="A713:C713"/>
    <mergeCell ref="E713:J713"/>
    <mergeCell ref="A714:C714"/>
    <mergeCell ref="E714:J714"/>
    <mergeCell ref="G757:J757"/>
    <mergeCell ref="G758:J758"/>
    <mergeCell ref="C759:F759"/>
    <mergeCell ref="C761:J761"/>
    <mergeCell ref="C762:E762"/>
    <mergeCell ref="G762:J762"/>
    <mergeCell ref="C763:E763"/>
    <mergeCell ref="G763:J763"/>
    <mergeCell ref="C764:E764"/>
    <mergeCell ref="G764:J764"/>
    <mergeCell ref="B767:J767"/>
    <mergeCell ref="B768:J768"/>
    <mergeCell ref="A770:C770"/>
    <mergeCell ref="E770:J770"/>
    <mergeCell ref="A771:C771"/>
    <mergeCell ref="E771:J771"/>
    <mergeCell ref="A772:C772"/>
    <mergeCell ref="E772:J772"/>
    <mergeCell ref="A773:C773"/>
    <mergeCell ref="E773:J773"/>
    <mergeCell ref="G816:J816"/>
    <mergeCell ref="G817:J817"/>
    <mergeCell ref="C818:F818"/>
    <mergeCell ref="C820:J820"/>
    <mergeCell ref="C821:E821"/>
    <mergeCell ref="G821:J821"/>
    <mergeCell ref="C822:E822"/>
    <mergeCell ref="G822:J822"/>
    <mergeCell ref="C823:E823"/>
    <mergeCell ref="G823:J823"/>
    <mergeCell ref="B826:J826"/>
    <mergeCell ref="B827:J827"/>
    <mergeCell ref="A829:C829"/>
    <mergeCell ref="E829:J829"/>
    <mergeCell ref="A830:C830"/>
    <mergeCell ref="E830:J830"/>
    <mergeCell ref="A831:C831"/>
    <mergeCell ref="E831:J831"/>
    <mergeCell ref="A832:C832"/>
    <mergeCell ref="E832:J832"/>
    <mergeCell ref="G875:J875"/>
    <mergeCell ref="G876:J876"/>
    <mergeCell ref="C877:F877"/>
    <mergeCell ref="C879:J879"/>
    <mergeCell ref="C880:E880"/>
    <mergeCell ref="G880:J880"/>
    <mergeCell ref="C881:E881"/>
    <mergeCell ref="G881:J881"/>
    <mergeCell ref="C882:E882"/>
    <mergeCell ref="G882:J882"/>
  </mergeCells>
  <printOptions horizontalCentered="1"/>
  <pageMargins left="0.25" right="0.2" top="0.5" bottom="0" header="0" footer="0"/>
  <pageSetup paperSize="9" orientation="portrait"/>
  <headerFooter/>
  <rowBreaks count="2" manualBreakCount="2">
    <brk id="59" max="0" man="1"/>
    <brk id="116" max="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FUTO-OGR MTH 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OFFICIAL GRADE REPORT</dc:title>
  <dc:creator>Dr. Onyeka</dc:creator>
  <cp:lastModifiedBy>USER</cp:lastModifiedBy>
  <dcterms:created xsi:type="dcterms:W3CDTF">2009-04-18T05:57:00Z</dcterms:created>
  <cp:lastPrinted>2025-04-03T09:10:00Z</cp:lastPrinted>
  <dcterms:modified xsi:type="dcterms:W3CDTF">2026-07-15T20:48:47Z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db2936d5598a4809b14dcab82e8dcb72</vt:lpwstr>
  </property>
  <property fmtid="{D5CDD505-2E9C-101B-9397-08002B2CF9AE}" pid="3" name="KSOProductBuildVer">
    <vt:lpwstr>2057-12.2.0.23206</vt:lpwstr>
  </property>
</Properties>
</file>